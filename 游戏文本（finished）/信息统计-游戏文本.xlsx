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work\游魂2AS简中汉化项目工程文件\游戏文本（finished）\"/>
    </mc:Choice>
  </mc:AlternateContent>
  <xr:revisionPtr revIDLastSave="0" documentId="13_ncr:1_{39A3EFF6-DB5B-47F5-82ED-3BE3960AC753}" xr6:coauthVersionLast="47" xr6:coauthVersionMax="47" xr10:uidLastSave="{00000000-0000-0000-0000-000000000000}"/>
  <bookViews>
    <workbookView xWindow="2554" yWindow="2606" windowWidth="18420" windowHeight="10988" xr2:uid="{00000000-000D-0000-FFFF-FFFF00000000}"/>
  </bookViews>
  <sheets>
    <sheet name="BGIScriptDumper" sheetId="4" r:id="rId1"/>
  </sheets>
  <definedNames>
    <definedName name="ExternalData_1" localSheetId="0" hidden="1">BGIScriptDumper!$A$2:$C$130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5" i="4" l="1"/>
  <c r="F82" i="4"/>
  <c r="F3" i="4"/>
  <c r="F5" i="4"/>
  <c r="F6" i="4"/>
  <c r="F11" i="4"/>
  <c r="F14" i="4"/>
  <c r="F19" i="4"/>
  <c r="F22" i="4"/>
  <c r="F27" i="4"/>
  <c r="F30" i="4"/>
  <c r="F35" i="4"/>
  <c r="F38" i="4"/>
  <c r="F4" i="4"/>
  <c r="F7" i="4"/>
  <c r="F9" i="4"/>
  <c r="F10" i="4"/>
  <c r="F12" i="4"/>
  <c r="F13" i="4"/>
  <c r="F15" i="4"/>
  <c r="F16" i="4"/>
  <c r="F17" i="4"/>
  <c r="F18" i="4"/>
  <c r="F20" i="4"/>
  <c r="F21" i="4"/>
  <c r="F23" i="4"/>
  <c r="F24" i="4"/>
  <c r="F25" i="4"/>
  <c r="F26" i="4"/>
  <c r="F28" i="4"/>
  <c r="F29" i="4"/>
  <c r="F31" i="4"/>
  <c r="F32" i="4"/>
  <c r="F33" i="4"/>
  <c r="F34" i="4"/>
  <c r="F36" i="4"/>
  <c r="F37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3" i="4" l="1"/>
  <c r="F85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97E172-327E-4C90-ACFF-6B8107F3D140}" keepAlive="1" name="查询 - BGIScriptDumper" description="与工作簿中“BGIScriptDumper”查询的连接。" type="5" refreshedVersion="8" background="1" saveData="1">
    <dbPr connection="Provider=Microsoft.Mashup.OleDb.1;Data Source=$Workbook$;Location=BGIScriptDumper;Extended Properties=&quot;&quot;" command="SELECT * FROM [BGIScriptDumper]"/>
  </connection>
</connections>
</file>

<file path=xl/sharedStrings.xml><?xml version="1.0" encoding="utf-8"?>
<sst xmlns="http://schemas.openxmlformats.org/spreadsheetml/2006/main" count="744" uniqueCount="259">
  <si>
    <t>10a</t>
  </si>
  <si>
    <t>10b</t>
  </si>
  <si>
    <t>10d</t>
  </si>
  <si>
    <t>101</t>
  </si>
  <si>
    <t>102</t>
  </si>
  <si>
    <t>102c</t>
  </si>
  <si>
    <t>102e</t>
  </si>
  <si>
    <t>103</t>
  </si>
  <si>
    <t>104</t>
  </si>
  <si>
    <t>105</t>
  </si>
  <si>
    <t>106</t>
  </si>
  <si>
    <t>107</t>
  </si>
  <si>
    <t>201</t>
  </si>
  <si>
    <t>202</t>
  </si>
  <si>
    <t>203</t>
  </si>
  <si>
    <t>204</t>
  </si>
  <si>
    <t>205</t>
  </si>
  <si>
    <t>206</t>
  </si>
  <si>
    <t>207</t>
  </si>
  <si>
    <t>208</t>
  </si>
  <si>
    <t>208a</t>
  </si>
  <si>
    <t>208b</t>
  </si>
  <si>
    <t>208d</t>
  </si>
  <si>
    <t>209</t>
  </si>
  <si>
    <t>a01</t>
  </si>
  <si>
    <t>a02</t>
  </si>
  <si>
    <t>ah01</t>
  </si>
  <si>
    <t>ah03</t>
  </si>
  <si>
    <t>b01</t>
  </si>
  <si>
    <t>bh01</t>
  </si>
  <si>
    <t>bh03</t>
  </si>
  <si>
    <t>c01</t>
  </si>
  <si>
    <t>c02</t>
  </si>
  <si>
    <t>ch01</t>
  </si>
  <si>
    <t>ch02</t>
  </si>
  <si>
    <t>d01</t>
  </si>
  <si>
    <t>dh01</t>
  </si>
  <si>
    <t>dh02</t>
  </si>
  <si>
    <t>e01_1</t>
  </si>
  <si>
    <t>e01_2</t>
  </si>
  <si>
    <t>e01_3</t>
  </si>
  <si>
    <t>e01_4</t>
  </si>
  <si>
    <t>e01_5</t>
  </si>
  <si>
    <t>e01_6</t>
  </si>
  <si>
    <t>e02_1</t>
  </si>
  <si>
    <t>e02_2</t>
  </si>
  <si>
    <t>e02_3</t>
  </si>
  <si>
    <t>e02_4</t>
  </si>
  <si>
    <t>e02_5</t>
  </si>
  <si>
    <t>e02_6</t>
  </si>
  <si>
    <t>e02_7</t>
  </si>
  <si>
    <t>e02_8</t>
  </si>
  <si>
    <t>e03_1</t>
  </si>
  <si>
    <t>e03_2</t>
  </si>
  <si>
    <t>e03_3</t>
  </si>
  <si>
    <t>e03_4</t>
  </si>
  <si>
    <t>e04_1</t>
  </si>
  <si>
    <t>e04_2</t>
  </si>
  <si>
    <t>e04_3</t>
  </si>
  <si>
    <t>e04_4</t>
  </si>
  <si>
    <t>e04_5</t>
  </si>
  <si>
    <t>e04_6</t>
  </si>
  <si>
    <t>e04_7</t>
  </si>
  <si>
    <t>e04_8</t>
  </si>
  <si>
    <t>e04_9H</t>
  </si>
  <si>
    <t>e05_1</t>
  </si>
  <si>
    <t>e05_2h</t>
  </si>
  <si>
    <t>e05_3</t>
  </si>
  <si>
    <t>f01</t>
  </si>
  <si>
    <t>xa01</t>
  </si>
  <si>
    <t>xa01h</t>
  </si>
  <si>
    <t>xa02</t>
  </si>
  <si>
    <t>xb01</t>
  </si>
  <si>
    <t>xb01h</t>
  </si>
  <si>
    <t>xb02</t>
  </si>
  <si>
    <t>xc01</t>
  </si>
  <si>
    <t>xc02</t>
  </si>
  <si>
    <t>xc02h</t>
  </si>
  <si>
    <t>xd01</t>
  </si>
  <si>
    <t>xd02</t>
  </si>
  <si>
    <t>xd02h</t>
  </si>
  <si>
    <t>文件名</t>
    <phoneticPr fontId="1" type="noConversion"/>
  </si>
  <si>
    <t>文件类型</t>
    <phoneticPr fontId="1" type="noConversion"/>
  </si>
  <si>
    <t>游戏文本</t>
    <phoneticPr fontId="1" type="noConversion"/>
  </si>
  <si>
    <t>备注</t>
    <phoneticPr fontId="1" type="noConversion"/>
  </si>
  <si>
    <t>完成翻译</t>
    <phoneticPr fontId="1" type="noConversion"/>
  </si>
  <si>
    <t>翻译情况</t>
    <phoneticPr fontId="1" type="noConversion"/>
  </si>
  <si>
    <t>翻译工具</t>
    <phoneticPr fontId="1" type="noConversion"/>
  </si>
  <si>
    <t>小计</t>
  </si>
  <si>
    <t>校对1完成</t>
  </si>
  <si>
    <t>校对1完成</t>
    <phoneticPr fontId="1" type="noConversion"/>
  </si>
  <si>
    <t>序号</t>
    <phoneticPr fontId="1" type="noConversion"/>
  </si>
  <si>
    <t>有效：81</t>
    <phoneticPr fontId="1" type="noConversion"/>
  </si>
  <si>
    <t>——</t>
    <phoneticPr fontId="1" type="noConversion"/>
  </si>
  <si>
    <t>校对2完成</t>
    <phoneticPr fontId="1" type="noConversion"/>
  </si>
  <si>
    <t>『共通』所谓人太祭</t>
    <phoneticPr fontId="1" type="noConversion"/>
  </si>
  <si>
    <t>『共通』对于太转依而言的祭典</t>
    <phoneticPr fontId="1" type="noConversion"/>
  </si>
  <si>
    <t>『共通』西条家的职责</t>
    <phoneticPr fontId="1" type="noConversion"/>
  </si>
  <si>
    <t>『共通』人太祭的制作人</t>
    <phoneticPr fontId="1" type="noConversion"/>
  </si>
  <si>
    <t>『共通』鵺的打算</t>
    <phoneticPr fontId="1" type="noConversion"/>
  </si>
  <si>
    <t>『共通』祭典前的宁静</t>
    <phoneticPr fontId="1" type="noConversion"/>
  </si>
  <si>
    <t>『共通』真犯人</t>
    <phoneticPr fontId="1" type="noConversion"/>
  </si>
  <si>
    <t>『共通』逃亡的真犯人</t>
    <phoneticPr fontId="1" type="noConversion"/>
  </si>
  <si>
    <t>『共通』演唱会要中止！？</t>
    <phoneticPr fontId="1" type="noConversion"/>
  </si>
  <si>
    <t>『共通』舞台！！</t>
    <phoneticPr fontId="1" type="noConversion"/>
  </si>
  <si>
    <t>『琥珀』琥珀的舞台</t>
    <phoneticPr fontId="1" type="noConversion"/>
  </si>
  <si>
    <t>『绯文』绯文的舞台</t>
    <phoneticPr fontId="1" type="noConversion"/>
  </si>
  <si>
    <t>『菜乃』菜乃的舞台</t>
    <phoneticPr fontId="1" type="noConversion"/>
  </si>
  <si>
    <t>『共通』感谢此时此刻</t>
    <phoneticPr fontId="1" type="noConversion"/>
  </si>
  <si>
    <t>『琥珀』祭典之后</t>
    <phoneticPr fontId="1" type="noConversion"/>
  </si>
  <si>
    <t>校对2完成</t>
  </si>
  <si>
    <t>『粉桃』为了成为粉桃</t>
    <phoneticPr fontId="1" type="noConversion"/>
  </si>
  <si>
    <t>『粉桃』作为人类的生活</t>
    <phoneticPr fontId="1" type="noConversion"/>
  </si>
  <si>
    <t>『粉桃』上学的粉桃</t>
    <phoneticPr fontId="1" type="noConversion"/>
  </si>
  <si>
    <t>『粉桃』和好</t>
    <phoneticPr fontId="1" type="noConversion"/>
  </si>
  <si>
    <t>『粉桃』手机终端与邮件</t>
    <phoneticPr fontId="1" type="noConversion"/>
  </si>
  <si>
    <t>『粉桃』事件发生时的粉桃</t>
    <phoneticPr fontId="1" type="noConversion"/>
  </si>
  <si>
    <t>『粉桃』心中不安</t>
    <phoneticPr fontId="1" type="noConversion"/>
  </si>
  <si>
    <t>『粉桃』第一封信</t>
    <phoneticPr fontId="1" type="noConversion"/>
  </si>
  <si>
    <t>『粉桃』情书？</t>
    <phoneticPr fontId="1" type="noConversion"/>
  </si>
  <si>
    <t>『粉桃』写信真开心</t>
    <phoneticPr fontId="1" type="noConversion"/>
  </si>
  <si>
    <t>『粉桃』笔友</t>
    <phoneticPr fontId="1" type="noConversion"/>
  </si>
  <si>
    <t>『粉桃』与粉桃的野餐</t>
    <phoneticPr fontId="1" type="noConversion"/>
  </si>
  <si>
    <t>『粉桃』禁忌之地</t>
    <phoneticPr fontId="1" type="noConversion"/>
  </si>
  <si>
    <t>『粉桃』没能交出去的信</t>
    <phoneticPr fontId="1" type="noConversion"/>
  </si>
  <si>
    <t>『粉桃』永不言弃</t>
    <phoneticPr fontId="1" type="noConversion"/>
  </si>
  <si>
    <t>『粉桃』微小的可能性</t>
    <phoneticPr fontId="1" type="noConversion"/>
  </si>
  <si>
    <t>『粉桃』琥珀的觉悟</t>
    <phoneticPr fontId="1" type="noConversion"/>
  </si>
  <si>
    <t>『粉桃』灵魂的羁绊</t>
    <phoneticPr fontId="1" type="noConversion"/>
  </si>
  <si>
    <t>『粉桃』粉桃的记忆</t>
    <phoneticPr fontId="1" type="noConversion"/>
  </si>
  <si>
    <t>『粉桃』『第一次』的信</t>
    <phoneticPr fontId="1" type="noConversion"/>
  </si>
  <si>
    <t>『粉桃』笔友，再次</t>
    <phoneticPr fontId="1" type="noConversion"/>
  </si>
  <si>
    <t>『粉桃』新的太转依</t>
    <phoneticPr fontId="1" type="noConversion"/>
  </si>
  <si>
    <t>『粉桃』平时的我</t>
    <phoneticPr fontId="1" type="noConversion"/>
  </si>
  <si>
    <t>『粉桃』向『粉桃』告白</t>
    <phoneticPr fontId="1" type="noConversion"/>
  </si>
  <si>
    <t>『粉桃』致『粉桃』的信</t>
    <phoneticPr fontId="1" type="noConversion"/>
  </si>
  <si>
    <t>『粉桃』邀请到房间</t>
    <phoneticPr fontId="1" type="noConversion"/>
  </si>
  <si>
    <t>『粉桃』挽着手臂</t>
    <phoneticPr fontId="1" type="noConversion"/>
  </si>
  <si>
    <t>『粉桃』慢慢写就好</t>
    <phoneticPr fontId="1" type="noConversion"/>
  </si>
  <si>
    <t>『共通』内裤不见了、穰一郎先生的证词、鵺小姐的过去</t>
    <phoneticPr fontId="1" type="noConversion"/>
  </si>
  <si>
    <t>初次启动游戏时的Attention内容</t>
    <phoneticPr fontId="1" type="noConversion"/>
  </si>
  <si>
    <t>校对3：查缺补漏</t>
    <phoneticPr fontId="1" type="noConversion"/>
  </si>
  <si>
    <t>MakerLogo</t>
    <phoneticPr fontId="1" type="noConversion"/>
  </si>
  <si>
    <t>『共通』清晨在学院的是……、人太祭最后一天的上午</t>
    <phoneticPr fontId="1" type="noConversion"/>
  </si>
  <si>
    <t>『共通』彩排！、垫场？、舞台开始</t>
    <phoneticPr fontId="1" type="noConversion"/>
  </si>
  <si>
    <t>AS1_Kohaku_1</t>
    <phoneticPr fontId="1" type="noConversion"/>
  </si>
  <si>
    <t>Kohaku_2</t>
    <phoneticPr fontId="1" type="noConversion"/>
  </si>
  <si>
    <t>Kohaku_1</t>
    <phoneticPr fontId="1" type="noConversion"/>
  </si>
  <si>
    <t>16_Nano</t>
    <phoneticPr fontId="1" type="noConversion"/>
  </si>
  <si>
    <t>16_Kohaku</t>
    <phoneticPr fontId="1" type="noConversion"/>
  </si>
  <si>
    <t>8_Nano</t>
    <phoneticPr fontId="1" type="noConversion"/>
  </si>
  <si>
    <t>『琥珀』人太祭后的琥珀、传承者、（H1）、作为妻子的吻</t>
    <phoneticPr fontId="1" type="noConversion"/>
  </si>
  <si>
    <t>琥珀H1：互相侍奉</t>
    <phoneticPr fontId="1" type="noConversion"/>
  </si>
  <si>
    <t>8_Hifumi</t>
    <phoneticPr fontId="1" type="noConversion"/>
  </si>
  <si>
    <t>16_Hifumi</t>
    <phoneticPr fontId="1" type="noConversion"/>
  </si>
  <si>
    <t>6.12完成所有</t>
    <phoneticPr fontId="1" type="noConversion"/>
  </si>
  <si>
    <t>6.14完成所有</t>
    <phoneticPr fontId="1" type="noConversion"/>
  </si>
  <si>
    <t>理论语句数</t>
    <phoneticPr fontId="1" type="noConversion"/>
  </si>
  <si>
    <t>『琥珀』真白小姐的担忧、作为丈夫、如同兄妹、为两人而设的约会、如同兄妹？、（H2）、被撒娇的琥珀</t>
    <phoneticPr fontId="1" type="noConversion"/>
  </si>
  <si>
    <t>AS2_Kohaku_1</t>
    <phoneticPr fontId="1" type="noConversion"/>
  </si>
  <si>
    <t>校对2：文本内容</t>
    <phoneticPr fontId="1" type="noConversion"/>
  </si>
  <si>
    <t>『琥珀』师父所托付之物、舞蹈练习、要跳出优美的舞姿……、琥珀的巫女神乐、（H3）、成长为成熟女性</t>
    <phoneticPr fontId="1" type="noConversion"/>
  </si>
  <si>
    <t>H1_Kohaku_2</t>
    <phoneticPr fontId="1" type="noConversion"/>
  </si>
  <si>
    <t>8_Kohaku</t>
    <phoneticPr fontId="1" type="noConversion"/>
  </si>
  <si>
    <t>2_Momo</t>
    <phoneticPr fontId="1" type="noConversion"/>
  </si>
  <si>
    <t>DeepSeek推理翻译</t>
    <phoneticPr fontId="1" type="noConversion"/>
  </si>
  <si>
    <t>『琥珀』裕理相信的事情、师徒之间的对话？、琥珀的偶像形象</t>
    <phoneticPr fontId="1" type="noConversion"/>
  </si>
  <si>
    <t>校对1：文件排版</t>
    <phoneticPr fontId="1" type="noConversion"/>
  </si>
  <si>
    <t>文件行数</t>
    <phoneticPr fontId="1" type="noConversion"/>
  </si>
  <si>
    <t>真白分支路线（无有效内容）</t>
    <phoneticPr fontId="1" type="noConversion"/>
  </si>
  <si>
    <t xml:space="preserve"> </t>
    <phoneticPr fontId="1" type="noConversion"/>
  </si>
  <si>
    <t>『共通』祭典当天的学院</t>
    <phoneticPr fontId="1" type="noConversion"/>
  </si>
  <si>
    <t>『共通』共存感谢祭</t>
    <phoneticPr fontId="1" type="noConversion"/>
  </si>
  <si>
    <t>『粉桃』与粉桃的关系</t>
    <phoneticPr fontId="1" type="noConversion"/>
  </si>
  <si>
    <t>AS_Momo_1</t>
    <phoneticPr fontId="1" type="noConversion"/>
  </si>
  <si>
    <t>AS_Momo_2</t>
    <phoneticPr fontId="1" type="noConversion"/>
  </si>
  <si>
    <t>AS_Momo_3</t>
  </si>
  <si>
    <t>AS_Momo_4</t>
  </si>
  <si>
    <t>AS_Momo_5</t>
  </si>
  <si>
    <t>AS_Momo_6</t>
  </si>
  <si>
    <t>AS_Momo_7</t>
  </si>
  <si>
    <t>AS_Momo_8</t>
  </si>
  <si>
    <t>AS_Momo_9</t>
  </si>
  <si>
    <t>AS_Momo_10</t>
  </si>
  <si>
    <t>AS_Momo_11</t>
  </si>
  <si>
    <t>AS_Momo_12</t>
  </si>
  <si>
    <t>AS_Momo_13</t>
  </si>
  <si>
    <t>AS_Momo_14</t>
  </si>
  <si>
    <t>AS_Momo_15</t>
  </si>
  <si>
    <t>AS_Momo_16</t>
  </si>
  <si>
    <t>AS_Momo_17</t>
  </si>
  <si>
    <t>AS_Momo_18</t>
  </si>
  <si>
    <t>AS_Momo_19</t>
  </si>
  <si>
    <t>AS_Momo_20</t>
  </si>
  <si>
    <t>AS_Momo_21</t>
  </si>
  <si>
    <t>AS_Momo_22</t>
  </si>
  <si>
    <t>AS_Momo_23</t>
  </si>
  <si>
    <t>AS_Momo_24</t>
  </si>
  <si>
    <t>AS_Momo_25</t>
  </si>
  <si>
    <t>AS_Momo_26</t>
  </si>
  <si>
    <t>2_Mashiro</t>
    <phoneticPr fontId="1" type="noConversion"/>
  </si>
  <si>
    <t>Mashiro_1</t>
    <phoneticPr fontId="1" type="noConversion"/>
  </si>
  <si>
    <t>Mashiro_2</t>
  </si>
  <si>
    <t>『真白』人太祭前的真白、回家的裕理、亲子独处、那时，真白她……、托付给真白的裕理、案件发生、抵达的通过点</t>
    <phoneticPr fontId="1" type="noConversion"/>
  </si>
  <si>
    <t>校对3完成</t>
  </si>
  <si>
    <t>校对3完成</t>
    <phoneticPr fontId="1" type="noConversion"/>
  </si>
  <si>
    <t>『真白』祭典之后的祭典、（H1）、向着祭典的前方</t>
    <phoneticPr fontId="1" type="noConversion"/>
  </si>
  <si>
    <t>琥珀H3：巫女神乐之后的琥珀</t>
    <phoneticPr fontId="1" type="noConversion"/>
  </si>
  <si>
    <t>H1_AS_Momo_26</t>
    <phoneticPr fontId="1" type="noConversion"/>
  </si>
  <si>
    <t>AS_Momo_27</t>
    <phoneticPr fontId="1" type="noConversion"/>
  </si>
  <si>
    <t>H2_AS_Momo_27</t>
    <phoneticPr fontId="1" type="noConversion"/>
  </si>
  <si>
    <t>AS_Momo_28</t>
    <phoneticPr fontId="1" type="noConversion"/>
  </si>
  <si>
    <t>粉桃H1：确认彼此的羁绊</t>
    <phoneticPr fontId="1" type="noConversion"/>
  </si>
  <si>
    <t>粉桃H2：恋人的裸体</t>
    <phoneticPr fontId="1" type="noConversion"/>
  </si>
  <si>
    <t>琥珀H2：亲吻全身</t>
    <phoneticPr fontId="1" type="noConversion"/>
  </si>
  <si>
    <t>H3_AS2_Kohaku_1</t>
    <phoneticPr fontId="1" type="noConversion"/>
  </si>
  <si>
    <t>H2_AS1_Kohaku_1</t>
    <phoneticPr fontId="1" type="noConversion"/>
  </si>
  <si>
    <t>真白H1：初次见面时的样子</t>
    <phoneticPr fontId="1" type="noConversion"/>
  </si>
  <si>
    <t>H1_Mashiro_2</t>
    <phoneticPr fontId="1" type="noConversion"/>
  </si>
  <si>
    <t>演出顺序</t>
    <phoneticPr fontId="1" type="noConversion"/>
  </si>
  <si>
    <t>AS3_Nue_1</t>
    <phoneticPr fontId="1" type="noConversion"/>
  </si>
  <si>
    <t>『真白』暴风雨前夕、寻找自我的旅程、鵺，学院之旅、鵺，思索的夜游、结束寻找自我</t>
    <phoneticPr fontId="1" type="noConversion"/>
  </si>
  <si>
    <t>AS2_Mashiro_1</t>
    <phoneticPr fontId="1" type="noConversion"/>
  </si>
  <si>
    <t>AS1_Mashiro_1</t>
    <phoneticPr fontId="1" type="noConversion"/>
  </si>
  <si>
    <t>真白H3：派对途中</t>
    <phoneticPr fontId="1" type="noConversion"/>
  </si>
  <si>
    <t>『真白』悄悄归来、派对会场的真白、（H3）、为我而穿的礼服</t>
    <phoneticPr fontId="1" type="noConversion"/>
  </si>
  <si>
    <t>H3_AS2_Mashiro_1</t>
    <phoneticPr fontId="1" type="noConversion"/>
  </si>
  <si>
    <t>真白H2：展现母性的真白小姐</t>
    <phoneticPr fontId="1" type="noConversion"/>
  </si>
  <si>
    <t>游魂2 -After Stories- 汉化项目文件——游戏文本（封包01000）   by-List-</t>
    <phoneticPr fontId="1" type="noConversion"/>
  </si>
  <si>
    <t>『真白』父母的喜悦、小时候的裕理、扮演母亲、（H2）、为了可爱的丈夫</t>
    <phoneticPr fontId="1" type="noConversion"/>
  </si>
  <si>
    <t>『菜乃』离开小镇之后、充满祭典气氛的晚餐、菜乃答应的理由</t>
    <phoneticPr fontId="1" type="noConversion"/>
  </si>
  <si>
    <t>菜乃H1：在舞台上与恋人</t>
    <phoneticPr fontId="1" type="noConversion"/>
  </si>
  <si>
    <t>Nano_1</t>
    <phoneticPr fontId="1" type="noConversion"/>
  </si>
  <si>
    <t>H1_Nano_1</t>
    <phoneticPr fontId="1" type="noConversion"/>
  </si>
  <si>
    <t>H2_AS1_Mashiro_1</t>
    <phoneticPr fontId="1" type="noConversion"/>
  </si>
  <si>
    <t>『菜乃』享受人太祭的菜乃等人、（H1）、回我们的家</t>
    <phoneticPr fontId="1" type="noConversion"/>
  </si>
  <si>
    <t>菜乃H2：误会解除</t>
    <phoneticPr fontId="1" type="noConversion"/>
  </si>
  <si>
    <t>『菜乃』离开矢古民町之后、『汤之花』的现状、两人的放松时间、疑惑、进一步的疑惑、直接对决、（H2）、和解</t>
    <phoneticPr fontId="1" type="noConversion"/>
  </si>
  <si>
    <t>H2_AS1_Nano_1</t>
    <phoneticPr fontId="1" type="noConversion"/>
  </si>
  <si>
    <t>AS1_Nano_1</t>
    <phoneticPr fontId="1" type="noConversion"/>
  </si>
  <si>
    <t>AS2_Nano_1</t>
    <phoneticPr fontId="1" type="noConversion"/>
  </si>
  <si>
    <t>菜乃H3：被那身姿所诱惑</t>
    <phoneticPr fontId="1" type="noConversion"/>
  </si>
  <si>
    <t>H3_AS2_Nano_1</t>
    <phoneticPr fontId="1" type="noConversion"/>
  </si>
  <si>
    <t>『菜乃』太转依保护设施的日常、拜托真白小姐的事、送达的制服、（H3）、拿去洗的制服</t>
    <phoneticPr fontId="1" type="noConversion"/>
  </si>
  <si>
    <t>『绯文』人太祭与淑女、绯文接受的理由、人太祭的热闹</t>
    <phoneticPr fontId="1" type="noConversion"/>
  </si>
  <si>
    <t>绯文H1：坐在教室的椅子上</t>
    <phoneticPr fontId="1" type="noConversion"/>
  </si>
  <si>
    <t>Hifumi_1</t>
    <phoneticPr fontId="1" type="noConversion"/>
  </si>
  <si>
    <t>H1_Hifumi_1</t>
    <phoneticPr fontId="1" type="noConversion"/>
  </si>
  <si>
    <t>『绯文』再次成为偶像、（H1）、当偶像也可以</t>
    <phoneticPr fontId="1" type="noConversion"/>
  </si>
  <si>
    <t>AS1_Hifumi_1</t>
    <phoneticPr fontId="1" type="noConversion"/>
  </si>
  <si>
    <t>『绯文』作为淑女、珍贵的两人时光、绯文的枷锁、回应信任、（H2）、毫无虚假，坦率地</t>
    <phoneticPr fontId="1" type="noConversion"/>
  </si>
  <si>
    <t>绯文H2：制服之下</t>
    <phoneticPr fontId="1" type="noConversion"/>
  </si>
  <si>
    <t>H2_AS1_Hifumi_1</t>
    <phoneticPr fontId="1" type="noConversion"/>
  </si>
  <si>
    <t>AS2_Hifumi_1</t>
    <phoneticPr fontId="1" type="noConversion"/>
  </si>
  <si>
    <t>绯文H3：对兔女郎装兴奋不已</t>
    <phoneticPr fontId="1" type="noConversion"/>
  </si>
  <si>
    <t>『绯文』考试对决、胜负的结果是？、绯文的款待、（H3）、两人的纪念日</t>
    <phoneticPr fontId="1" type="noConversion"/>
  </si>
  <si>
    <t>H3_AS2_Hifumi_1</t>
    <phoneticPr fontId="1" type="noConversion"/>
  </si>
  <si>
    <t>7.24完成所有</t>
    <phoneticPr fontId="1" type="noConversion"/>
  </si>
  <si>
    <t>注：H情节的文本不进行二次校对，因此该类文本的章节备注条目可能会有缺少。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</si>
</sst>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C000"/>
      <name val="宋体"/>
      <family val="3"/>
      <charset val="134"/>
      <scheme val="minor"/>
    </font>
    <font>
      <sz val="11"/>
      <color rgb="FFFF00FF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66CC"/>
      <name val="宋体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rgb="FF00206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0" fontId="2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58" fontId="3" fillId="0" borderId="1" xfId="0" applyNumberFormat="1" applyFont="1" applyBorder="1" applyAlignment="1">
      <alignment horizontal="righ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9" fillId="0" borderId="0" xfId="0" applyFont="1">
      <alignment vertical="center"/>
    </xf>
    <xf numFmtId="0" fontId="9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66CC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F9B6A5BE-D16A-4DC8-96A5-1614F2761423}" autoFormatId="16" applyNumberFormats="0" applyBorderFormats="0" applyFontFormats="0" applyPatternFormats="0" applyAlignmentFormats="0" applyWidthHeightFormats="0">
  <queryTableRefresh headersInLastRefresh="0" nextId="13" unboundColumnsRight="9">
    <queryTableFields count="12">
      <queryTableField id="1" name="Column1" tableColumnId="1"/>
      <queryTableField id="2" name="Column2" tableColumnId="2"/>
      <queryTableField id="3" name="Column3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829150-673F-4201-8E8B-9CE67889897B}" name="BGIScriptDumper" displayName="BGIScriptDumper" ref="A2:L130" tableType="queryTable" headerRowCount="0" totalsRowShown="0">
  <tableColumns count="12">
    <tableColumn id="1" xr3:uid="{51E0E973-6E04-4FBA-952A-708443998F83}" uniqueName="1" name="列1" queryTableFieldId="1" dataDxfId="11"/>
    <tableColumn id="2" xr3:uid="{3BD97702-3568-44FB-AF40-B9E284C0D3B7}" uniqueName="2" name="列2" queryTableFieldId="2" dataDxfId="10"/>
    <tableColumn id="3" xr3:uid="{06ECA53F-4A47-40D5-9D2F-D9410F50D7EA}" uniqueName="3" name="列3" queryTableFieldId="3" dataDxfId="9"/>
    <tableColumn id="4" xr3:uid="{44B417EB-8476-47F3-A1AC-753005F45A50}" uniqueName="4" name="列4" queryTableFieldId="4" dataDxfId="8"/>
    <tableColumn id="5" xr3:uid="{0A0DA067-5377-46F9-8D9E-861E1FE829F5}" uniqueName="5" name="列5" queryTableFieldId="5" dataDxfId="7"/>
    <tableColumn id="6" xr3:uid="{CB0B4E3B-1018-4537-914C-80811065A5AC}" uniqueName="6" name="列6" queryTableFieldId="6" dataDxfId="6">
      <calculatedColumnFormula>(O2-7)/3</calculatedColumnFormula>
    </tableColumn>
    <tableColumn id="7" xr3:uid="{CD7D31BF-C6EB-486D-869F-93D7BF14904F}" uniqueName="7" name="列7" queryTableFieldId="7" dataDxfId="5"/>
    <tableColumn id="8" xr3:uid="{71138431-98BC-4574-9FE2-1116BED4654D}" uniqueName="8" name="列8" queryTableFieldId="8" dataDxfId="4"/>
    <tableColumn id="9" xr3:uid="{D559D5E6-BD77-41D1-8545-57DAABD40CD9}" uniqueName="9" name="列9" queryTableFieldId="9" dataDxfId="3"/>
    <tableColumn id="10" xr3:uid="{54A90816-A7B2-44F4-877D-1EF121F44486}" uniqueName="10" name="列10" queryTableFieldId="10" dataDxfId="2"/>
    <tableColumn id="11" xr3:uid="{F82BF75F-D40B-4A3A-8A54-ABB1008A9BF7}" uniqueName="11" name="列11" queryTableFieldId="11" dataDxfId="1"/>
    <tableColumn id="12" xr3:uid="{746E3393-6D93-4117-855E-93FC687D99D9}" uniqueName="12" name="列12" queryTableFieldId="1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3C11-66ED-4979-8B9B-E851D2D637E4}">
  <sheetPr>
    <pageSetUpPr fitToPage="1"/>
  </sheetPr>
  <dimension ref="A1:L112"/>
  <sheetViews>
    <sheetView tabSelected="1" topLeftCell="A71" zoomScaleNormal="100" workbookViewId="0">
      <selection activeCell="E72" sqref="E72"/>
    </sheetView>
  </sheetViews>
  <sheetFormatPr defaultRowHeight="14.15" x14ac:dyDescent="0.3"/>
  <cols>
    <col min="1" max="1" width="4.84375" customWidth="1"/>
    <col min="2" max="2" width="9.23046875" customWidth="1"/>
    <col min="3" max="3" width="9.765625" customWidth="1"/>
    <col min="4" max="4" width="67.07421875" style="52" customWidth="1"/>
    <col min="5" max="5" width="8.61328125" customWidth="1"/>
    <col min="6" max="6" width="10.4609375" customWidth="1"/>
    <col min="7" max="7" width="16.53515625" customWidth="1"/>
    <col min="8" max="8" width="9" customWidth="1"/>
    <col min="9" max="9" width="16.15234375" customWidth="1"/>
    <col min="10" max="10" width="15.921875" customWidth="1"/>
    <col min="11" max="11" width="15.61328125" customWidth="1"/>
    <col min="12" max="12" width="17.23046875" customWidth="1"/>
  </cols>
  <sheetData>
    <row r="1" spans="1:12" x14ac:dyDescent="0.3">
      <c r="A1" s="54" t="s">
        <v>228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x14ac:dyDescent="0.3">
      <c r="A2" s="1" t="s">
        <v>91</v>
      </c>
      <c r="B2" s="1" t="s">
        <v>82</v>
      </c>
      <c r="C2" s="1" t="s">
        <v>81</v>
      </c>
      <c r="D2" s="47" t="s">
        <v>84</v>
      </c>
      <c r="E2" s="1" t="s">
        <v>168</v>
      </c>
      <c r="F2" s="1" t="s">
        <v>157</v>
      </c>
      <c r="G2" s="1" t="s">
        <v>87</v>
      </c>
      <c r="H2" s="1" t="s">
        <v>86</v>
      </c>
      <c r="I2" s="1" t="s">
        <v>167</v>
      </c>
      <c r="J2" s="1" t="s">
        <v>160</v>
      </c>
      <c r="K2" s="1" t="s">
        <v>141</v>
      </c>
      <c r="L2" s="1" t="s">
        <v>219</v>
      </c>
    </row>
    <row r="3" spans="1:12" x14ac:dyDescent="0.3">
      <c r="A3" s="14">
        <v>1</v>
      </c>
      <c r="B3" s="13" t="s">
        <v>83</v>
      </c>
      <c r="C3" s="14" t="s">
        <v>0</v>
      </c>
      <c r="D3" s="27" t="s">
        <v>166</v>
      </c>
      <c r="E3" s="14">
        <v>2257</v>
      </c>
      <c r="F3" s="14">
        <f t="shared" ref="F3:F30" si="0">(E3-7)/3</f>
        <v>750</v>
      </c>
      <c r="G3" s="13" t="s">
        <v>165</v>
      </c>
      <c r="H3" s="13" t="s">
        <v>85</v>
      </c>
      <c r="I3" s="13" t="s">
        <v>90</v>
      </c>
      <c r="J3" s="13" t="s">
        <v>94</v>
      </c>
      <c r="K3" s="13" t="s">
        <v>205</v>
      </c>
      <c r="L3" s="22" t="s">
        <v>163</v>
      </c>
    </row>
    <row r="4" spans="1:12" x14ac:dyDescent="0.3">
      <c r="A4" s="17">
        <v>2</v>
      </c>
      <c r="B4" s="18" t="s">
        <v>83</v>
      </c>
      <c r="C4" s="17" t="s">
        <v>1</v>
      </c>
      <c r="D4" s="48" t="s">
        <v>244</v>
      </c>
      <c r="E4" s="17">
        <v>1543</v>
      </c>
      <c r="F4" s="17">
        <f t="shared" si="0"/>
        <v>512</v>
      </c>
      <c r="G4" s="18" t="s">
        <v>165</v>
      </c>
      <c r="H4" s="18" t="s">
        <v>85</v>
      </c>
      <c r="I4" s="18" t="s">
        <v>90</v>
      </c>
      <c r="J4" s="18" t="s">
        <v>94</v>
      </c>
      <c r="K4" s="18" t="s">
        <v>205</v>
      </c>
      <c r="L4" s="19" t="s">
        <v>153</v>
      </c>
    </row>
    <row r="5" spans="1:12" x14ac:dyDescent="0.3">
      <c r="A5" s="23">
        <v>3</v>
      </c>
      <c r="B5" s="24" t="s">
        <v>83</v>
      </c>
      <c r="C5" s="23" t="s">
        <v>2</v>
      </c>
      <c r="D5" s="30" t="s">
        <v>230</v>
      </c>
      <c r="E5" s="23">
        <v>1789</v>
      </c>
      <c r="F5" s="23">
        <f t="shared" si="0"/>
        <v>594</v>
      </c>
      <c r="G5" s="24" t="s">
        <v>165</v>
      </c>
      <c r="H5" s="24" t="s">
        <v>85</v>
      </c>
      <c r="I5" s="24" t="s">
        <v>89</v>
      </c>
      <c r="J5" s="24" t="s">
        <v>110</v>
      </c>
      <c r="K5" s="24" t="s">
        <v>205</v>
      </c>
      <c r="L5" s="25" t="s">
        <v>150</v>
      </c>
    </row>
    <row r="6" spans="1:12" x14ac:dyDescent="0.3">
      <c r="A6" s="2">
        <v>4</v>
      </c>
      <c r="B6" s="5" t="s">
        <v>83</v>
      </c>
      <c r="C6" s="2" t="s">
        <v>3</v>
      </c>
      <c r="D6" s="4" t="s">
        <v>171</v>
      </c>
      <c r="E6" s="2">
        <v>571</v>
      </c>
      <c r="F6" s="2">
        <f t="shared" si="0"/>
        <v>188</v>
      </c>
      <c r="G6" s="5" t="s">
        <v>165</v>
      </c>
      <c r="H6" s="5" t="s">
        <v>85</v>
      </c>
      <c r="I6" s="5" t="s">
        <v>89</v>
      </c>
      <c r="J6" s="5" t="s">
        <v>110</v>
      </c>
      <c r="K6" s="5" t="s">
        <v>205</v>
      </c>
      <c r="L6" s="11">
        <v>1</v>
      </c>
    </row>
    <row r="7" spans="1:12" s="16" customFormat="1" x14ac:dyDescent="0.3">
      <c r="A7" s="2">
        <v>5</v>
      </c>
      <c r="B7" s="5" t="s">
        <v>83</v>
      </c>
      <c r="C7" s="2" t="s">
        <v>4</v>
      </c>
      <c r="D7" s="4" t="s">
        <v>172</v>
      </c>
      <c r="E7" s="2">
        <v>610</v>
      </c>
      <c r="F7" s="2">
        <f t="shared" si="0"/>
        <v>201</v>
      </c>
      <c r="G7" s="5" t="s">
        <v>165</v>
      </c>
      <c r="H7" s="5" t="s">
        <v>85</v>
      </c>
      <c r="I7" s="5" t="s">
        <v>89</v>
      </c>
      <c r="J7" s="5" t="s">
        <v>110</v>
      </c>
      <c r="K7" s="5" t="s">
        <v>205</v>
      </c>
      <c r="L7" s="11">
        <v>2</v>
      </c>
    </row>
    <row r="8" spans="1:12" s="34" customFormat="1" x14ac:dyDescent="0.3">
      <c r="A8" s="31">
        <v>6</v>
      </c>
      <c r="B8" s="32" t="s">
        <v>83</v>
      </c>
      <c r="C8" s="31" t="s">
        <v>5</v>
      </c>
      <c r="D8" s="33" t="s">
        <v>169</v>
      </c>
      <c r="E8" s="31">
        <v>7</v>
      </c>
      <c r="F8" s="31">
        <v>0</v>
      </c>
      <c r="G8" s="32" t="s">
        <v>165</v>
      </c>
      <c r="H8" s="32" t="s">
        <v>85</v>
      </c>
      <c r="I8" s="32" t="s">
        <v>89</v>
      </c>
      <c r="J8" s="35" t="s">
        <v>93</v>
      </c>
      <c r="K8" s="35" t="s">
        <v>93</v>
      </c>
      <c r="L8" s="36" t="s">
        <v>200</v>
      </c>
    </row>
    <row r="9" spans="1:12" s="26" customFormat="1" x14ac:dyDescent="0.3">
      <c r="A9" s="37">
        <v>7</v>
      </c>
      <c r="B9" s="38" t="s">
        <v>83</v>
      </c>
      <c r="C9" s="37" t="s">
        <v>6</v>
      </c>
      <c r="D9" s="49" t="s">
        <v>173</v>
      </c>
      <c r="E9" s="37">
        <v>109</v>
      </c>
      <c r="F9" s="37">
        <f t="shared" si="0"/>
        <v>34</v>
      </c>
      <c r="G9" s="38" t="s">
        <v>165</v>
      </c>
      <c r="H9" s="38" t="s">
        <v>85</v>
      </c>
      <c r="I9" s="38" t="s">
        <v>89</v>
      </c>
      <c r="J9" s="38" t="s">
        <v>110</v>
      </c>
      <c r="K9" s="38" t="s">
        <v>205</v>
      </c>
      <c r="L9" s="39" t="s">
        <v>164</v>
      </c>
    </row>
    <row r="10" spans="1:12" x14ac:dyDescent="0.3">
      <c r="A10" s="2">
        <v>8</v>
      </c>
      <c r="B10" s="5" t="s">
        <v>83</v>
      </c>
      <c r="C10" s="2" t="s">
        <v>7</v>
      </c>
      <c r="D10" s="4" t="s">
        <v>95</v>
      </c>
      <c r="E10" s="2">
        <v>361</v>
      </c>
      <c r="F10" s="2">
        <f t="shared" si="0"/>
        <v>118</v>
      </c>
      <c r="G10" s="5" t="s">
        <v>165</v>
      </c>
      <c r="H10" s="5" t="s">
        <v>85</v>
      </c>
      <c r="I10" s="5" t="s">
        <v>89</v>
      </c>
      <c r="J10" s="5" t="s">
        <v>110</v>
      </c>
      <c r="K10" s="5" t="s">
        <v>205</v>
      </c>
      <c r="L10" s="11">
        <v>3</v>
      </c>
    </row>
    <row r="11" spans="1:12" x14ac:dyDescent="0.3">
      <c r="A11" s="2">
        <v>9</v>
      </c>
      <c r="B11" s="5" t="s">
        <v>83</v>
      </c>
      <c r="C11" s="2" t="s">
        <v>8</v>
      </c>
      <c r="D11" s="4" t="s">
        <v>96</v>
      </c>
      <c r="E11" s="2">
        <v>541</v>
      </c>
      <c r="F11" s="2">
        <f t="shared" si="0"/>
        <v>178</v>
      </c>
      <c r="G11" s="5" t="s">
        <v>165</v>
      </c>
      <c r="H11" s="5" t="s">
        <v>85</v>
      </c>
      <c r="I11" s="5" t="s">
        <v>89</v>
      </c>
      <c r="J11" s="5" t="s">
        <v>110</v>
      </c>
      <c r="K11" s="5" t="s">
        <v>205</v>
      </c>
      <c r="L11" s="11">
        <v>4</v>
      </c>
    </row>
    <row r="12" spans="1:12" x14ac:dyDescent="0.3">
      <c r="A12" s="2">
        <v>10</v>
      </c>
      <c r="B12" s="5" t="s">
        <v>83</v>
      </c>
      <c r="C12" s="2" t="s">
        <v>9</v>
      </c>
      <c r="D12" s="4" t="s">
        <v>97</v>
      </c>
      <c r="E12" s="2">
        <v>352</v>
      </c>
      <c r="F12" s="2">
        <f t="shared" si="0"/>
        <v>115</v>
      </c>
      <c r="G12" s="5" t="s">
        <v>165</v>
      </c>
      <c r="H12" s="5" t="s">
        <v>85</v>
      </c>
      <c r="I12" s="5" t="s">
        <v>89</v>
      </c>
      <c r="J12" s="5" t="s">
        <v>110</v>
      </c>
      <c r="K12" s="5" t="s">
        <v>204</v>
      </c>
      <c r="L12" s="11">
        <v>5</v>
      </c>
    </row>
    <row r="13" spans="1:12" s="40" customFormat="1" x14ac:dyDescent="0.3">
      <c r="A13" s="2">
        <v>11</v>
      </c>
      <c r="B13" s="5" t="s">
        <v>83</v>
      </c>
      <c r="C13" s="2" t="s">
        <v>10</v>
      </c>
      <c r="D13" s="4" t="s">
        <v>98</v>
      </c>
      <c r="E13" s="2">
        <v>1003</v>
      </c>
      <c r="F13" s="2">
        <f t="shared" si="0"/>
        <v>332</v>
      </c>
      <c r="G13" s="5" t="s">
        <v>165</v>
      </c>
      <c r="H13" s="5" t="s">
        <v>85</v>
      </c>
      <c r="I13" s="5" t="s">
        <v>89</v>
      </c>
      <c r="J13" s="5" t="s">
        <v>110</v>
      </c>
      <c r="K13" s="5" t="s">
        <v>204</v>
      </c>
      <c r="L13" s="11">
        <v>6</v>
      </c>
    </row>
    <row r="14" spans="1:12" x14ac:dyDescent="0.3">
      <c r="A14" s="2">
        <v>12</v>
      </c>
      <c r="B14" s="5" t="s">
        <v>83</v>
      </c>
      <c r="C14" s="2" t="s">
        <v>11</v>
      </c>
      <c r="D14" s="4" t="s">
        <v>99</v>
      </c>
      <c r="E14" s="2">
        <v>346</v>
      </c>
      <c r="F14" s="2">
        <f t="shared" si="0"/>
        <v>113</v>
      </c>
      <c r="G14" s="5" t="s">
        <v>165</v>
      </c>
      <c r="H14" s="5" t="s">
        <v>85</v>
      </c>
      <c r="I14" s="5" t="s">
        <v>89</v>
      </c>
      <c r="J14" s="5" t="s">
        <v>110</v>
      </c>
      <c r="K14" s="5" t="s">
        <v>204</v>
      </c>
      <c r="L14" s="11">
        <v>7</v>
      </c>
    </row>
    <row r="15" spans="1:12" x14ac:dyDescent="0.3">
      <c r="A15" s="2">
        <v>13</v>
      </c>
      <c r="B15" s="5" t="s">
        <v>83</v>
      </c>
      <c r="C15" s="2" t="s">
        <v>12</v>
      </c>
      <c r="D15" s="4" t="s">
        <v>143</v>
      </c>
      <c r="E15" s="2">
        <v>1165</v>
      </c>
      <c r="F15" s="2">
        <f t="shared" si="0"/>
        <v>386</v>
      </c>
      <c r="G15" s="5" t="s">
        <v>165</v>
      </c>
      <c r="H15" s="5" t="s">
        <v>85</v>
      </c>
      <c r="I15" s="5" t="s">
        <v>89</v>
      </c>
      <c r="J15" s="5" t="s">
        <v>110</v>
      </c>
      <c r="K15" s="5" t="s">
        <v>204</v>
      </c>
      <c r="L15" s="11">
        <v>9</v>
      </c>
    </row>
    <row r="16" spans="1:12" x14ac:dyDescent="0.3">
      <c r="A16" s="2">
        <v>14</v>
      </c>
      <c r="B16" s="5" t="s">
        <v>83</v>
      </c>
      <c r="C16" s="2" t="s">
        <v>13</v>
      </c>
      <c r="D16" s="4" t="s">
        <v>100</v>
      </c>
      <c r="E16" s="2">
        <v>817</v>
      </c>
      <c r="F16" s="2">
        <f t="shared" si="0"/>
        <v>270</v>
      </c>
      <c r="G16" s="5" t="s">
        <v>165</v>
      </c>
      <c r="H16" s="5" t="s">
        <v>85</v>
      </c>
      <c r="I16" s="5" t="s">
        <v>89</v>
      </c>
      <c r="J16" s="5" t="s">
        <v>110</v>
      </c>
      <c r="K16" s="5" t="s">
        <v>204</v>
      </c>
      <c r="L16" s="11">
        <v>10</v>
      </c>
    </row>
    <row r="17" spans="1:12" x14ac:dyDescent="0.3">
      <c r="A17" s="2">
        <v>15</v>
      </c>
      <c r="B17" s="5" t="s">
        <v>83</v>
      </c>
      <c r="C17" s="2" t="s">
        <v>14</v>
      </c>
      <c r="D17" s="4" t="s">
        <v>139</v>
      </c>
      <c r="E17" s="2">
        <v>3274</v>
      </c>
      <c r="F17" s="2">
        <f t="shared" si="0"/>
        <v>1089</v>
      </c>
      <c r="G17" s="5" t="s">
        <v>165</v>
      </c>
      <c r="H17" s="5" t="s">
        <v>85</v>
      </c>
      <c r="I17" s="5" t="s">
        <v>89</v>
      </c>
      <c r="J17" s="5" t="s">
        <v>110</v>
      </c>
      <c r="K17" s="5" t="s">
        <v>204</v>
      </c>
      <c r="L17" s="11">
        <v>11</v>
      </c>
    </row>
    <row r="18" spans="1:12" x14ac:dyDescent="0.3">
      <c r="A18" s="2">
        <v>16</v>
      </c>
      <c r="B18" s="5" t="s">
        <v>83</v>
      </c>
      <c r="C18" s="2" t="s">
        <v>15</v>
      </c>
      <c r="D18" s="4" t="s">
        <v>101</v>
      </c>
      <c r="E18" s="2">
        <v>856</v>
      </c>
      <c r="F18" s="2">
        <f t="shared" si="0"/>
        <v>283</v>
      </c>
      <c r="G18" s="5" t="s">
        <v>165</v>
      </c>
      <c r="H18" s="5" t="s">
        <v>85</v>
      </c>
      <c r="I18" s="5" t="s">
        <v>89</v>
      </c>
      <c r="J18" s="5" t="s">
        <v>110</v>
      </c>
      <c r="K18" s="5" t="s">
        <v>204</v>
      </c>
      <c r="L18" s="11">
        <v>12</v>
      </c>
    </row>
    <row r="19" spans="1:12" x14ac:dyDescent="0.3">
      <c r="A19" s="2">
        <v>17</v>
      </c>
      <c r="B19" s="5" t="s">
        <v>83</v>
      </c>
      <c r="C19" s="2" t="s">
        <v>16</v>
      </c>
      <c r="D19" s="4" t="s">
        <v>102</v>
      </c>
      <c r="E19" s="2">
        <v>1816</v>
      </c>
      <c r="F19" s="2">
        <f t="shared" si="0"/>
        <v>603</v>
      </c>
      <c r="G19" s="5" t="s">
        <v>165</v>
      </c>
      <c r="H19" s="5" t="s">
        <v>85</v>
      </c>
      <c r="I19" s="5" t="s">
        <v>89</v>
      </c>
      <c r="J19" s="5" t="s">
        <v>110</v>
      </c>
      <c r="K19" s="5" t="s">
        <v>204</v>
      </c>
      <c r="L19" s="11">
        <v>13</v>
      </c>
    </row>
    <row r="20" spans="1:12" x14ac:dyDescent="0.3">
      <c r="A20" s="2">
        <v>18</v>
      </c>
      <c r="B20" s="5" t="s">
        <v>83</v>
      </c>
      <c r="C20" s="2" t="s">
        <v>17</v>
      </c>
      <c r="D20" s="4" t="s">
        <v>103</v>
      </c>
      <c r="E20" s="2">
        <v>571</v>
      </c>
      <c r="F20" s="2">
        <f t="shared" si="0"/>
        <v>188</v>
      </c>
      <c r="G20" s="5" t="s">
        <v>165</v>
      </c>
      <c r="H20" s="5" t="s">
        <v>85</v>
      </c>
      <c r="I20" s="5" t="s">
        <v>89</v>
      </c>
      <c r="J20" s="5" t="s">
        <v>110</v>
      </c>
      <c r="K20" s="5" t="s">
        <v>204</v>
      </c>
      <c r="L20" s="11">
        <v>14</v>
      </c>
    </row>
    <row r="21" spans="1:12" x14ac:dyDescent="0.3">
      <c r="A21" s="2">
        <v>19</v>
      </c>
      <c r="B21" s="5" t="s">
        <v>83</v>
      </c>
      <c r="C21" s="2" t="s">
        <v>18</v>
      </c>
      <c r="D21" s="4" t="s">
        <v>144</v>
      </c>
      <c r="E21" s="2">
        <v>2791</v>
      </c>
      <c r="F21" s="2">
        <f t="shared" si="0"/>
        <v>928</v>
      </c>
      <c r="G21" s="5" t="s">
        <v>165</v>
      </c>
      <c r="H21" s="5" t="s">
        <v>85</v>
      </c>
      <c r="I21" s="5" t="s">
        <v>89</v>
      </c>
      <c r="J21" s="5" t="s">
        <v>110</v>
      </c>
      <c r="K21" s="5" t="s">
        <v>204</v>
      </c>
      <c r="L21" s="11">
        <v>15</v>
      </c>
    </row>
    <row r="22" spans="1:12" x14ac:dyDescent="0.3">
      <c r="A22" s="2">
        <v>20</v>
      </c>
      <c r="B22" s="5" t="s">
        <v>83</v>
      </c>
      <c r="C22" s="2" t="s">
        <v>19</v>
      </c>
      <c r="D22" s="4" t="s">
        <v>104</v>
      </c>
      <c r="E22" s="2">
        <v>541</v>
      </c>
      <c r="F22" s="2">
        <f t="shared" si="0"/>
        <v>178</v>
      </c>
      <c r="G22" s="5" t="s">
        <v>165</v>
      </c>
      <c r="H22" s="5" t="s">
        <v>85</v>
      </c>
      <c r="I22" s="5" t="s">
        <v>89</v>
      </c>
      <c r="J22" s="5" t="s">
        <v>110</v>
      </c>
      <c r="K22" s="5" t="s">
        <v>204</v>
      </c>
      <c r="L22" s="11">
        <v>16</v>
      </c>
    </row>
    <row r="23" spans="1:12" x14ac:dyDescent="0.3">
      <c r="A23" s="14">
        <v>21</v>
      </c>
      <c r="B23" s="13" t="s">
        <v>83</v>
      </c>
      <c r="C23" s="14" t="s">
        <v>20</v>
      </c>
      <c r="D23" s="27" t="s">
        <v>105</v>
      </c>
      <c r="E23" s="14">
        <v>154</v>
      </c>
      <c r="F23" s="14">
        <f t="shared" si="0"/>
        <v>49</v>
      </c>
      <c r="G23" s="13" t="s">
        <v>165</v>
      </c>
      <c r="H23" s="13" t="s">
        <v>85</v>
      </c>
      <c r="I23" s="13" t="s">
        <v>89</v>
      </c>
      <c r="J23" s="13" t="s">
        <v>110</v>
      </c>
      <c r="K23" s="13" t="s">
        <v>205</v>
      </c>
      <c r="L23" s="15" t="s">
        <v>149</v>
      </c>
    </row>
    <row r="24" spans="1:12" x14ac:dyDescent="0.3">
      <c r="A24" s="17">
        <v>22</v>
      </c>
      <c r="B24" s="18" t="s">
        <v>83</v>
      </c>
      <c r="C24" s="17" t="s">
        <v>21</v>
      </c>
      <c r="D24" s="48" t="s">
        <v>106</v>
      </c>
      <c r="E24" s="17">
        <v>142</v>
      </c>
      <c r="F24" s="17">
        <f t="shared" si="0"/>
        <v>45</v>
      </c>
      <c r="G24" s="18" t="s">
        <v>165</v>
      </c>
      <c r="H24" s="18" t="s">
        <v>85</v>
      </c>
      <c r="I24" s="18" t="s">
        <v>89</v>
      </c>
      <c r="J24" s="18" t="s">
        <v>110</v>
      </c>
      <c r="K24" s="18" t="s">
        <v>205</v>
      </c>
      <c r="L24" s="19" t="s">
        <v>154</v>
      </c>
    </row>
    <row r="25" spans="1:12" x14ac:dyDescent="0.3">
      <c r="A25" s="23">
        <v>23</v>
      </c>
      <c r="B25" s="24" t="s">
        <v>83</v>
      </c>
      <c r="C25" s="23" t="s">
        <v>22</v>
      </c>
      <c r="D25" s="30" t="s">
        <v>107</v>
      </c>
      <c r="E25" s="23">
        <v>154</v>
      </c>
      <c r="F25" s="23">
        <f t="shared" si="0"/>
        <v>49</v>
      </c>
      <c r="G25" s="24" t="s">
        <v>165</v>
      </c>
      <c r="H25" s="24" t="s">
        <v>85</v>
      </c>
      <c r="I25" s="24" t="s">
        <v>89</v>
      </c>
      <c r="J25" s="24" t="s">
        <v>110</v>
      </c>
      <c r="K25" s="24" t="s">
        <v>205</v>
      </c>
      <c r="L25" s="25" t="s">
        <v>148</v>
      </c>
    </row>
    <row r="26" spans="1:12" x14ac:dyDescent="0.3">
      <c r="A26" s="2">
        <v>24</v>
      </c>
      <c r="B26" s="5" t="s">
        <v>83</v>
      </c>
      <c r="C26" s="2" t="s">
        <v>23</v>
      </c>
      <c r="D26" s="4" t="s">
        <v>108</v>
      </c>
      <c r="E26" s="2">
        <v>640</v>
      </c>
      <c r="F26" s="2">
        <f t="shared" si="0"/>
        <v>211</v>
      </c>
      <c r="G26" s="5" t="s">
        <v>165</v>
      </c>
      <c r="H26" s="5" t="s">
        <v>85</v>
      </c>
      <c r="I26" s="5" t="s">
        <v>89</v>
      </c>
      <c r="J26" s="5" t="s">
        <v>110</v>
      </c>
      <c r="K26" s="5" t="s">
        <v>205</v>
      </c>
      <c r="L26" s="11">
        <v>17</v>
      </c>
    </row>
    <row r="27" spans="1:12" s="16" customFormat="1" x14ac:dyDescent="0.3">
      <c r="A27" s="14">
        <v>25</v>
      </c>
      <c r="B27" s="13" t="s">
        <v>83</v>
      </c>
      <c r="C27" s="14" t="s">
        <v>24</v>
      </c>
      <c r="D27" s="27" t="s">
        <v>109</v>
      </c>
      <c r="E27" s="14">
        <v>550</v>
      </c>
      <c r="F27" s="14">
        <f t="shared" si="0"/>
        <v>181</v>
      </c>
      <c r="G27" s="13" t="s">
        <v>165</v>
      </c>
      <c r="H27" s="13" t="s">
        <v>85</v>
      </c>
      <c r="I27" s="13" t="s">
        <v>89</v>
      </c>
      <c r="J27" s="13" t="s">
        <v>110</v>
      </c>
      <c r="K27" s="13" t="s">
        <v>205</v>
      </c>
      <c r="L27" s="22" t="s">
        <v>147</v>
      </c>
    </row>
    <row r="28" spans="1:12" s="20" customFormat="1" x14ac:dyDescent="0.3">
      <c r="A28" s="14">
        <v>26</v>
      </c>
      <c r="B28" s="13" t="s">
        <v>83</v>
      </c>
      <c r="C28" s="14" t="s">
        <v>25</v>
      </c>
      <c r="D28" s="27" t="s">
        <v>151</v>
      </c>
      <c r="E28" s="14">
        <v>1096</v>
      </c>
      <c r="F28" s="14">
        <f t="shared" si="0"/>
        <v>363</v>
      </c>
      <c r="G28" s="13" t="s">
        <v>165</v>
      </c>
      <c r="H28" s="13" t="s">
        <v>85</v>
      </c>
      <c r="I28" s="13" t="s">
        <v>89</v>
      </c>
      <c r="J28" s="13" t="s">
        <v>110</v>
      </c>
      <c r="K28" s="13" t="s">
        <v>205</v>
      </c>
      <c r="L28" s="22" t="s">
        <v>146</v>
      </c>
    </row>
    <row r="29" spans="1:12" s="26" customFormat="1" x14ac:dyDescent="0.3">
      <c r="A29" s="14">
        <v>27</v>
      </c>
      <c r="B29" s="13" t="s">
        <v>83</v>
      </c>
      <c r="C29" s="14" t="s">
        <v>26</v>
      </c>
      <c r="D29" s="27" t="s">
        <v>152</v>
      </c>
      <c r="E29" s="14">
        <v>1567</v>
      </c>
      <c r="F29" s="14">
        <f t="shared" si="0"/>
        <v>520</v>
      </c>
      <c r="G29" s="13" t="s">
        <v>165</v>
      </c>
      <c r="H29" s="13" t="s">
        <v>85</v>
      </c>
      <c r="I29" s="13" t="s">
        <v>89</v>
      </c>
      <c r="J29" s="28" t="s">
        <v>93</v>
      </c>
      <c r="K29" s="28" t="s">
        <v>93</v>
      </c>
      <c r="L29" s="22" t="s">
        <v>162</v>
      </c>
    </row>
    <row r="30" spans="1:12" x14ac:dyDescent="0.3">
      <c r="A30" s="14">
        <v>28</v>
      </c>
      <c r="B30" s="13" t="s">
        <v>83</v>
      </c>
      <c r="C30" s="14" t="s">
        <v>27</v>
      </c>
      <c r="D30" s="27" t="s">
        <v>207</v>
      </c>
      <c r="E30" s="14">
        <v>1984</v>
      </c>
      <c r="F30" s="14">
        <f t="shared" si="0"/>
        <v>659</v>
      </c>
      <c r="G30" s="13" t="s">
        <v>165</v>
      </c>
      <c r="H30" s="13" t="s">
        <v>85</v>
      </c>
      <c r="I30" s="13" t="s">
        <v>89</v>
      </c>
      <c r="J30" s="28" t="s">
        <v>93</v>
      </c>
      <c r="K30" s="28" t="s">
        <v>93</v>
      </c>
      <c r="L30" s="22" t="s">
        <v>215</v>
      </c>
    </row>
    <row r="31" spans="1:12" s="16" customFormat="1" x14ac:dyDescent="0.3">
      <c r="A31" s="17">
        <v>29</v>
      </c>
      <c r="B31" s="18" t="s">
        <v>83</v>
      </c>
      <c r="C31" s="17" t="s">
        <v>28</v>
      </c>
      <c r="D31" s="48" t="s">
        <v>248</v>
      </c>
      <c r="E31" s="17">
        <v>940</v>
      </c>
      <c r="F31" s="17">
        <f t="shared" ref="F31:F61" si="1">(E31-7)/3</f>
        <v>311</v>
      </c>
      <c r="G31" s="18" t="s">
        <v>165</v>
      </c>
      <c r="H31" s="18" t="s">
        <v>85</v>
      </c>
      <c r="I31" s="18" t="s">
        <v>89</v>
      </c>
      <c r="J31" s="18" t="s">
        <v>110</v>
      </c>
      <c r="K31" s="18" t="s">
        <v>205</v>
      </c>
      <c r="L31" s="19" t="s">
        <v>246</v>
      </c>
    </row>
    <row r="32" spans="1:12" s="16" customFormat="1" x14ac:dyDescent="0.3">
      <c r="A32" s="17">
        <v>30</v>
      </c>
      <c r="B32" s="18" t="s">
        <v>83</v>
      </c>
      <c r="C32" s="17" t="s">
        <v>29</v>
      </c>
      <c r="D32" s="48" t="s">
        <v>245</v>
      </c>
      <c r="E32" s="17">
        <v>1648</v>
      </c>
      <c r="F32" s="17">
        <f t="shared" si="1"/>
        <v>547</v>
      </c>
      <c r="G32" s="18" t="s">
        <v>165</v>
      </c>
      <c r="H32" s="18" t="s">
        <v>85</v>
      </c>
      <c r="I32" s="18" t="s">
        <v>89</v>
      </c>
      <c r="J32" s="21" t="s">
        <v>93</v>
      </c>
      <c r="K32" s="21" t="s">
        <v>93</v>
      </c>
      <c r="L32" s="19" t="s">
        <v>247</v>
      </c>
    </row>
    <row r="33" spans="1:12" s="16" customFormat="1" x14ac:dyDescent="0.3">
      <c r="A33" s="17">
        <v>31</v>
      </c>
      <c r="B33" s="18" t="s">
        <v>83</v>
      </c>
      <c r="C33" s="17" t="s">
        <v>30</v>
      </c>
      <c r="D33" s="48" t="s">
        <v>254</v>
      </c>
      <c r="E33" s="17">
        <v>2944</v>
      </c>
      <c r="F33" s="17">
        <f t="shared" si="1"/>
        <v>979</v>
      </c>
      <c r="G33" s="18" t="s">
        <v>165</v>
      </c>
      <c r="H33" s="18" t="s">
        <v>85</v>
      </c>
      <c r="I33" s="18" t="s">
        <v>89</v>
      </c>
      <c r="J33" s="21" t="s">
        <v>93</v>
      </c>
      <c r="K33" s="21" t="s">
        <v>93</v>
      </c>
      <c r="L33" s="19" t="s">
        <v>256</v>
      </c>
    </row>
    <row r="34" spans="1:12" s="16" customFormat="1" ht="28.3" x14ac:dyDescent="0.3">
      <c r="A34" s="31">
        <v>32</v>
      </c>
      <c r="B34" s="32" t="s">
        <v>83</v>
      </c>
      <c r="C34" s="31" t="s">
        <v>31</v>
      </c>
      <c r="D34" s="33" t="s">
        <v>203</v>
      </c>
      <c r="E34" s="31">
        <v>4366</v>
      </c>
      <c r="F34" s="31">
        <f t="shared" si="1"/>
        <v>1453</v>
      </c>
      <c r="G34" s="32" t="s">
        <v>165</v>
      </c>
      <c r="H34" s="32" t="s">
        <v>85</v>
      </c>
      <c r="I34" s="32" t="s">
        <v>89</v>
      </c>
      <c r="J34" s="32" t="s">
        <v>110</v>
      </c>
      <c r="K34" s="32" t="s">
        <v>205</v>
      </c>
      <c r="L34" s="36" t="s">
        <v>201</v>
      </c>
    </row>
    <row r="35" spans="1:12" s="20" customFormat="1" x14ac:dyDescent="0.3">
      <c r="A35" s="31">
        <v>33</v>
      </c>
      <c r="B35" s="32" t="s">
        <v>83</v>
      </c>
      <c r="C35" s="31" t="s">
        <v>32</v>
      </c>
      <c r="D35" s="33" t="s">
        <v>206</v>
      </c>
      <c r="E35" s="31">
        <v>1495</v>
      </c>
      <c r="F35" s="31">
        <f t="shared" si="1"/>
        <v>496</v>
      </c>
      <c r="G35" s="32" t="s">
        <v>165</v>
      </c>
      <c r="H35" s="32" t="s">
        <v>85</v>
      </c>
      <c r="I35" s="32" t="s">
        <v>89</v>
      </c>
      <c r="J35" s="32" t="s">
        <v>110</v>
      </c>
      <c r="K35" s="32" t="s">
        <v>205</v>
      </c>
      <c r="L35" s="36" t="s">
        <v>202</v>
      </c>
    </row>
    <row r="36" spans="1:12" s="20" customFormat="1" x14ac:dyDescent="0.3">
      <c r="A36" s="31">
        <v>34</v>
      </c>
      <c r="B36" s="32" t="s">
        <v>83</v>
      </c>
      <c r="C36" s="31" t="s">
        <v>33</v>
      </c>
      <c r="D36" s="33" t="s">
        <v>217</v>
      </c>
      <c r="E36" s="31">
        <v>1870</v>
      </c>
      <c r="F36" s="31">
        <f t="shared" si="1"/>
        <v>621</v>
      </c>
      <c r="G36" s="32" t="s">
        <v>165</v>
      </c>
      <c r="H36" s="32" t="s">
        <v>85</v>
      </c>
      <c r="I36" s="32" t="s">
        <v>89</v>
      </c>
      <c r="J36" s="35" t="s">
        <v>93</v>
      </c>
      <c r="K36" s="35" t="s">
        <v>93</v>
      </c>
      <c r="L36" s="36" t="s">
        <v>218</v>
      </c>
    </row>
    <row r="37" spans="1:12" s="20" customFormat="1" x14ac:dyDescent="0.3">
      <c r="A37" s="31">
        <v>35</v>
      </c>
      <c r="B37" s="32" t="s">
        <v>83</v>
      </c>
      <c r="C37" s="31" t="s">
        <v>34</v>
      </c>
      <c r="D37" s="33" t="s">
        <v>227</v>
      </c>
      <c r="E37" s="31">
        <v>2509</v>
      </c>
      <c r="F37" s="31">
        <f t="shared" si="1"/>
        <v>834</v>
      </c>
      <c r="G37" s="32" t="s">
        <v>165</v>
      </c>
      <c r="H37" s="32" t="s">
        <v>85</v>
      </c>
      <c r="I37" s="32" t="s">
        <v>89</v>
      </c>
      <c r="J37" s="35" t="s">
        <v>93</v>
      </c>
      <c r="K37" s="35" t="s">
        <v>93</v>
      </c>
      <c r="L37" s="36" t="s">
        <v>234</v>
      </c>
    </row>
    <row r="38" spans="1:12" s="34" customFormat="1" x14ac:dyDescent="0.3">
      <c r="A38" s="23">
        <v>36</v>
      </c>
      <c r="B38" s="24" t="s">
        <v>83</v>
      </c>
      <c r="C38" s="23" t="s">
        <v>35</v>
      </c>
      <c r="D38" s="30" t="s">
        <v>235</v>
      </c>
      <c r="E38" s="23">
        <v>841</v>
      </c>
      <c r="F38" s="23">
        <f t="shared" si="1"/>
        <v>278</v>
      </c>
      <c r="G38" s="24" t="s">
        <v>165</v>
      </c>
      <c r="H38" s="24" t="s">
        <v>85</v>
      </c>
      <c r="I38" s="24" t="s">
        <v>89</v>
      </c>
      <c r="J38" s="24" t="s">
        <v>110</v>
      </c>
      <c r="K38" s="24" t="s">
        <v>205</v>
      </c>
      <c r="L38" s="25" t="s">
        <v>232</v>
      </c>
    </row>
    <row r="39" spans="1:12" s="34" customFormat="1" x14ac:dyDescent="0.3">
      <c r="A39" s="23">
        <v>37</v>
      </c>
      <c r="B39" s="24" t="s">
        <v>83</v>
      </c>
      <c r="C39" s="23" t="s">
        <v>36</v>
      </c>
      <c r="D39" s="30" t="s">
        <v>231</v>
      </c>
      <c r="E39" s="23">
        <v>1681</v>
      </c>
      <c r="F39" s="23">
        <f t="shared" si="1"/>
        <v>558</v>
      </c>
      <c r="G39" s="24" t="s">
        <v>165</v>
      </c>
      <c r="H39" s="24" t="s">
        <v>85</v>
      </c>
      <c r="I39" s="24" t="s">
        <v>89</v>
      </c>
      <c r="J39" s="29" t="s">
        <v>93</v>
      </c>
      <c r="K39" s="29" t="s">
        <v>93</v>
      </c>
      <c r="L39" s="25" t="s">
        <v>233</v>
      </c>
    </row>
    <row r="40" spans="1:12" s="34" customFormat="1" x14ac:dyDescent="0.3">
      <c r="A40" s="23">
        <v>38</v>
      </c>
      <c r="B40" s="24" t="s">
        <v>83</v>
      </c>
      <c r="C40" s="23" t="s">
        <v>37</v>
      </c>
      <c r="D40" s="30" t="s">
        <v>236</v>
      </c>
      <c r="E40" s="23">
        <v>2644</v>
      </c>
      <c r="F40" s="23">
        <f t="shared" si="1"/>
        <v>879</v>
      </c>
      <c r="G40" s="24" t="s">
        <v>165</v>
      </c>
      <c r="H40" s="24" t="s">
        <v>85</v>
      </c>
      <c r="I40" s="24" t="s">
        <v>89</v>
      </c>
      <c r="J40" s="29" t="s">
        <v>93</v>
      </c>
      <c r="K40" s="29" t="s">
        <v>93</v>
      </c>
      <c r="L40" s="25" t="s">
        <v>238</v>
      </c>
    </row>
    <row r="41" spans="1:12" s="26" customFormat="1" x14ac:dyDescent="0.3">
      <c r="A41" s="37">
        <v>39</v>
      </c>
      <c r="B41" s="38" t="s">
        <v>83</v>
      </c>
      <c r="C41" s="37" t="s">
        <v>38</v>
      </c>
      <c r="D41" s="49" t="s">
        <v>111</v>
      </c>
      <c r="E41" s="37">
        <v>436</v>
      </c>
      <c r="F41" s="37">
        <f t="shared" si="1"/>
        <v>143</v>
      </c>
      <c r="G41" s="38" t="s">
        <v>165</v>
      </c>
      <c r="H41" s="38" t="s">
        <v>85</v>
      </c>
      <c r="I41" s="38" t="s">
        <v>89</v>
      </c>
      <c r="J41" s="38" t="s">
        <v>110</v>
      </c>
      <c r="K41" s="38" t="s">
        <v>205</v>
      </c>
      <c r="L41" s="39" t="s">
        <v>174</v>
      </c>
    </row>
    <row r="42" spans="1:12" s="26" customFormat="1" x14ac:dyDescent="0.3">
      <c r="A42" s="37">
        <v>40</v>
      </c>
      <c r="B42" s="38" t="s">
        <v>83</v>
      </c>
      <c r="C42" s="37" t="s">
        <v>39</v>
      </c>
      <c r="D42" s="49" t="s">
        <v>112</v>
      </c>
      <c r="E42" s="37">
        <v>607</v>
      </c>
      <c r="F42" s="37">
        <f t="shared" si="1"/>
        <v>200</v>
      </c>
      <c r="G42" s="38" t="s">
        <v>165</v>
      </c>
      <c r="H42" s="38" t="s">
        <v>85</v>
      </c>
      <c r="I42" s="38" t="s">
        <v>89</v>
      </c>
      <c r="J42" s="38" t="s">
        <v>110</v>
      </c>
      <c r="K42" s="38" t="s">
        <v>205</v>
      </c>
      <c r="L42" s="39" t="s">
        <v>175</v>
      </c>
    </row>
    <row r="43" spans="1:12" s="26" customFormat="1" x14ac:dyDescent="0.3">
      <c r="A43" s="37">
        <v>41</v>
      </c>
      <c r="B43" s="38" t="s">
        <v>83</v>
      </c>
      <c r="C43" s="37" t="s">
        <v>40</v>
      </c>
      <c r="D43" s="49" t="s">
        <v>113</v>
      </c>
      <c r="E43" s="37">
        <v>325</v>
      </c>
      <c r="F43" s="37">
        <f t="shared" si="1"/>
        <v>106</v>
      </c>
      <c r="G43" s="38" t="s">
        <v>165</v>
      </c>
      <c r="H43" s="38" t="s">
        <v>85</v>
      </c>
      <c r="I43" s="38" t="s">
        <v>89</v>
      </c>
      <c r="J43" s="38" t="s">
        <v>110</v>
      </c>
      <c r="K43" s="38" t="s">
        <v>204</v>
      </c>
      <c r="L43" s="39" t="s">
        <v>176</v>
      </c>
    </row>
    <row r="44" spans="1:12" x14ac:dyDescent="0.3">
      <c r="A44" s="37">
        <v>42</v>
      </c>
      <c r="B44" s="38" t="s">
        <v>83</v>
      </c>
      <c r="C44" s="37" t="s">
        <v>41</v>
      </c>
      <c r="D44" s="49" t="s">
        <v>114</v>
      </c>
      <c r="E44" s="37">
        <v>640</v>
      </c>
      <c r="F44" s="37">
        <f t="shared" si="1"/>
        <v>211</v>
      </c>
      <c r="G44" s="38" t="s">
        <v>165</v>
      </c>
      <c r="H44" s="38" t="s">
        <v>85</v>
      </c>
      <c r="I44" s="38" t="s">
        <v>89</v>
      </c>
      <c r="J44" s="38" t="s">
        <v>110</v>
      </c>
      <c r="K44" s="38" t="s">
        <v>204</v>
      </c>
      <c r="L44" s="39" t="s">
        <v>177</v>
      </c>
    </row>
    <row r="45" spans="1:12" s="40" customFormat="1" x14ac:dyDescent="0.3">
      <c r="A45" s="37">
        <v>43</v>
      </c>
      <c r="B45" s="38" t="s">
        <v>83</v>
      </c>
      <c r="C45" s="37" t="s">
        <v>42</v>
      </c>
      <c r="D45" s="49" t="s">
        <v>115</v>
      </c>
      <c r="E45" s="37">
        <v>1129</v>
      </c>
      <c r="F45" s="37">
        <f t="shared" si="1"/>
        <v>374</v>
      </c>
      <c r="G45" s="38" t="s">
        <v>165</v>
      </c>
      <c r="H45" s="38" t="s">
        <v>85</v>
      </c>
      <c r="I45" s="38" t="s">
        <v>89</v>
      </c>
      <c r="J45" s="38" t="s">
        <v>110</v>
      </c>
      <c r="K45" s="38" t="s">
        <v>204</v>
      </c>
      <c r="L45" s="39" t="s">
        <v>178</v>
      </c>
    </row>
    <row r="46" spans="1:12" s="40" customFormat="1" x14ac:dyDescent="0.3">
      <c r="A46" s="37">
        <v>44</v>
      </c>
      <c r="B46" s="38" t="s">
        <v>83</v>
      </c>
      <c r="C46" s="37" t="s">
        <v>43</v>
      </c>
      <c r="D46" s="49" t="s">
        <v>116</v>
      </c>
      <c r="E46" s="37">
        <v>688</v>
      </c>
      <c r="F46" s="37">
        <f t="shared" si="1"/>
        <v>227</v>
      </c>
      <c r="G46" s="38" t="s">
        <v>165</v>
      </c>
      <c r="H46" s="38" t="s">
        <v>85</v>
      </c>
      <c r="I46" s="38" t="s">
        <v>89</v>
      </c>
      <c r="J46" s="38" t="s">
        <v>110</v>
      </c>
      <c r="K46" s="38" t="s">
        <v>204</v>
      </c>
      <c r="L46" s="39" t="s">
        <v>179</v>
      </c>
    </row>
    <row r="47" spans="1:12" s="40" customFormat="1" x14ac:dyDescent="0.3">
      <c r="A47" s="37">
        <v>45</v>
      </c>
      <c r="B47" s="38" t="s">
        <v>83</v>
      </c>
      <c r="C47" s="37" t="s">
        <v>44</v>
      </c>
      <c r="D47" s="49" t="s">
        <v>117</v>
      </c>
      <c r="E47" s="37">
        <v>1216</v>
      </c>
      <c r="F47" s="37">
        <f t="shared" si="1"/>
        <v>403</v>
      </c>
      <c r="G47" s="38" t="s">
        <v>165</v>
      </c>
      <c r="H47" s="38" t="s">
        <v>85</v>
      </c>
      <c r="I47" s="38" t="s">
        <v>89</v>
      </c>
      <c r="J47" s="38" t="s">
        <v>110</v>
      </c>
      <c r="K47" s="38" t="s">
        <v>204</v>
      </c>
      <c r="L47" s="39" t="s">
        <v>180</v>
      </c>
    </row>
    <row r="48" spans="1:12" s="40" customFormat="1" x14ac:dyDescent="0.3">
      <c r="A48" s="37">
        <v>46</v>
      </c>
      <c r="B48" s="38" t="s">
        <v>83</v>
      </c>
      <c r="C48" s="37" t="s">
        <v>45</v>
      </c>
      <c r="D48" s="49" t="s">
        <v>118</v>
      </c>
      <c r="E48" s="37">
        <v>1249</v>
      </c>
      <c r="F48" s="37">
        <f t="shared" si="1"/>
        <v>414</v>
      </c>
      <c r="G48" s="38" t="s">
        <v>165</v>
      </c>
      <c r="H48" s="38" t="s">
        <v>85</v>
      </c>
      <c r="I48" s="38" t="s">
        <v>89</v>
      </c>
      <c r="J48" s="38" t="s">
        <v>110</v>
      </c>
      <c r="K48" s="38" t="s">
        <v>204</v>
      </c>
      <c r="L48" s="39" t="s">
        <v>181</v>
      </c>
    </row>
    <row r="49" spans="1:12" s="40" customFormat="1" x14ac:dyDescent="0.3">
      <c r="A49" s="37">
        <v>47</v>
      </c>
      <c r="B49" s="38" t="s">
        <v>83</v>
      </c>
      <c r="C49" s="37" t="s">
        <v>46</v>
      </c>
      <c r="D49" s="49" t="s">
        <v>119</v>
      </c>
      <c r="E49" s="37">
        <v>487</v>
      </c>
      <c r="F49" s="37">
        <f t="shared" si="1"/>
        <v>160</v>
      </c>
      <c r="G49" s="38" t="s">
        <v>165</v>
      </c>
      <c r="H49" s="38" t="s">
        <v>85</v>
      </c>
      <c r="I49" s="38" t="s">
        <v>89</v>
      </c>
      <c r="J49" s="38" t="s">
        <v>110</v>
      </c>
      <c r="K49" s="38" t="s">
        <v>204</v>
      </c>
      <c r="L49" s="39" t="s">
        <v>182</v>
      </c>
    </row>
    <row r="50" spans="1:12" s="40" customFormat="1" x14ac:dyDescent="0.3">
      <c r="A50" s="37">
        <v>48</v>
      </c>
      <c r="B50" s="38" t="s">
        <v>83</v>
      </c>
      <c r="C50" s="37" t="s">
        <v>47</v>
      </c>
      <c r="D50" s="49" t="s">
        <v>120</v>
      </c>
      <c r="E50" s="37">
        <v>715</v>
      </c>
      <c r="F50" s="37">
        <f t="shared" si="1"/>
        <v>236</v>
      </c>
      <c r="G50" s="38" t="s">
        <v>165</v>
      </c>
      <c r="H50" s="38" t="s">
        <v>85</v>
      </c>
      <c r="I50" s="38" t="s">
        <v>89</v>
      </c>
      <c r="J50" s="38" t="s">
        <v>110</v>
      </c>
      <c r="K50" s="38" t="s">
        <v>204</v>
      </c>
      <c r="L50" s="39" t="s">
        <v>183</v>
      </c>
    </row>
    <row r="51" spans="1:12" s="40" customFormat="1" x14ac:dyDescent="0.3">
      <c r="A51" s="37">
        <v>49</v>
      </c>
      <c r="B51" s="38" t="s">
        <v>83</v>
      </c>
      <c r="C51" s="37" t="s">
        <v>48</v>
      </c>
      <c r="D51" s="49" t="s">
        <v>121</v>
      </c>
      <c r="E51" s="37">
        <v>409</v>
      </c>
      <c r="F51" s="37">
        <f t="shared" si="1"/>
        <v>134</v>
      </c>
      <c r="G51" s="38" t="s">
        <v>165</v>
      </c>
      <c r="H51" s="38" t="s">
        <v>85</v>
      </c>
      <c r="I51" s="38" t="s">
        <v>89</v>
      </c>
      <c r="J51" s="38" t="s">
        <v>110</v>
      </c>
      <c r="K51" s="38" t="s">
        <v>204</v>
      </c>
      <c r="L51" s="39" t="s">
        <v>184</v>
      </c>
    </row>
    <row r="52" spans="1:12" s="40" customFormat="1" x14ac:dyDescent="0.3">
      <c r="A52" s="37">
        <v>50</v>
      </c>
      <c r="B52" s="38" t="s">
        <v>83</v>
      </c>
      <c r="C52" s="37" t="s">
        <v>49</v>
      </c>
      <c r="D52" s="49" t="s">
        <v>122</v>
      </c>
      <c r="E52" s="37">
        <v>1111</v>
      </c>
      <c r="F52" s="37">
        <f t="shared" si="1"/>
        <v>368</v>
      </c>
      <c r="G52" s="38" t="s">
        <v>165</v>
      </c>
      <c r="H52" s="38" t="s">
        <v>85</v>
      </c>
      <c r="I52" s="38" t="s">
        <v>89</v>
      </c>
      <c r="J52" s="38" t="s">
        <v>110</v>
      </c>
      <c r="K52" s="38" t="s">
        <v>204</v>
      </c>
      <c r="L52" s="39" t="s">
        <v>185</v>
      </c>
    </row>
    <row r="53" spans="1:12" s="40" customFormat="1" x14ac:dyDescent="0.3">
      <c r="A53" s="37">
        <v>51</v>
      </c>
      <c r="B53" s="38" t="s">
        <v>83</v>
      </c>
      <c r="C53" s="37" t="s">
        <v>50</v>
      </c>
      <c r="D53" s="49" t="s">
        <v>123</v>
      </c>
      <c r="E53" s="37">
        <v>1996</v>
      </c>
      <c r="F53" s="37">
        <f t="shared" si="1"/>
        <v>663</v>
      </c>
      <c r="G53" s="38" t="s">
        <v>165</v>
      </c>
      <c r="H53" s="38" t="s">
        <v>85</v>
      </c>
      <c r="I53" s="38" t="s">
        <v>89</v>
      </c>
      <c r="J53" s="38" t="s">
        <v>110</v>
      </c>
      <c r="K53" s="38" t="s">
        <v>204</v>
      </c>
      <c r="L53" s="39" t="s">
        <v>186</v>
      </c>
    </row>
    <row r="54" spans="1:12" s="40" customFormat="1" x14ac:dyDescent="0.3">
      <c r="A54" s="37">
        <v>52</v>
      </c>
      <c r="B54" s="38" t="s">
        <v>83</v>
      </c>
      <c r="C54" s="37" t="s">
        <v>51</v>
      </c>
      <c r="D54" s="49" t="s">
        <v>124</v>
      </c>
      <c r="E54" s="37">
        <v>424</v>
      </c>
      <c r="F54" s="37">
        <f t="shared" si="1"/>
        <v>139</v>
      </c>
      <c r="G54" s="38" t="s">
        <v>165</v>
      </c>
      <c r="H54" s="38" t="s">
        <v>85</v>
      </c>
      <c r="I54" s="38" t="s">
        <v>89</v>
      </c>
      <c r="J54" s="38" t="s">
        <v>110</v>
      </c>
      <c r="K54" s="38" t="s">
        <v>204</v>
      </c>
      <c r="L54" s="39" t="s">
        <v>187</v>
      </c>
    </row>
    <row r="55" spans="1:12" s="40" customFormat="1" x14ac:dyDescent="0.3">
      <c r="A55" s="37">
        <v>53</v>
      </c>
      <c r="B55" s="38" t="s">
        <v>83</v>
      </c>
      <c r="C55" s="37" t="s">
        <v>52</v>
      </c>
      <c r="D55" s="49" t="s">
        <v>125</v>
      </c>
      <c r="E55" s="37">
        <v>415</v>
      </c>
      <c r="F55" s="37">
        <f t="shared" si="1"/>
        <v>136</v>
      </c>
      <c r="G55" s="38" t="s">
        <v>165</v>
      </c>
      <c r="H55" s="38" t="s">
        <v>85</v>
      </c>
      <c r="I55" s="38" t="s">
        <v>89</v>
      </c>
      <c r="J55" s="38" t="s">
        <v>110</v>
      </c>
      <c r="K55" s="38" t="s">
        <v>204</v>
      </c>
      <c r="L55" s="39" t="s">
        <v>188</v>
      </c>
    </row>
    <row r="56" spans="1:12" s="40" customFormat="1" x14ac:dyDescent="0.3">
      <c r="A56" s="37">
        <v>54</v>
      </c>
      <c r="B56" s="38" t="s">
        <v>83</v>
      </c>
      <c r="C56" s="37" t="s">
        <v>53</v>
      </c>
      <c r="D56" s="49" t="s">
        <v>126</v>
      </c>
      <c r="E56" s="37">
        <v>1168</v>
      </c>
      <c r="F56" s="37">
        <f t="shared" si="1"/>
        <v>387</v>
      </c>
      <c r="G56" s="38" t="s">
        <v>165</v>
      </c>
      <c r="H56" s="38" t="s">
        <v>85</v>
      </c>
      <c r="I56" s="38" t="s">
        <v>89</v>
      </c>
      <c r="J56" s="38" t="s">
        <v>110</v>
      </c>
      <c r="K56" s="38" t="s">
        <v>204</v>
      </c>
      <c r="L56" s="39" t="s">
        <v>189</v>
      </c>
    </row>
    <row r="57" spans="1:12" s="40" customFormat="1" x14ac:dyDescent="0.3">
      <c r="A57" s="37">
        <v>55</v>
      </c>
      <c r="B57" s="38" t="s">
        <v>83</v>
      </c>
      <c r="C57" s="37" t="s">
        <v>54</v>
      </c>
      <c r="D57" s="49" t="s">
        <v>127</v>
      </c>
      <c r="E57" s="37">
        <v>1147</v>
      </c>
      <c r="F57" s="37">
        <f t="shared" si="1"/>
        <v>380</v>
      </c>
      <c r="G57" s="38" t="s">
        <v>165</v>
      </c>
      <c r="H57" s="38" t="s">
        <v>85</v>
      </c>
      <c r="I57" s="38" t="s">
        <v>89</v>
      </c>
      <c r="J57" s="38" t="s">
        <v>110</v>
      </c>
      <c r="K57" s="38" t="s">
        <v>204</v>
      </c>
      <c r="L57" s="39" t="s">
        <v>190</v>
      </c>
    </row>
    <row r="58" spans="1:12" s="40" customFormat="1" x14ac:dyDescent="0.3">
      <c r="A58" s="37">
        <v>56</v>
      </c>
      <c r="B58" s="38" t="s">
        <v>83</v>
      </c>
      <c r="C58" s="37" t="s">
        <v>55</v>
      </c>
      <c r="D58" s="49" t="s">
        <v>128</v>
      </c>
      <c r="E58" s="37">
        <v>451</v>
      </c>
      <c r="F58" s="37">
        <f t="shared" si="1"/>
        <v>148</v>
      </c>
      <c r="G58" s="38" t="s">
        <v>165</v>
      </c>
      <c r="H58" s="38" t="s">
        <v>85</v>
      </c>
      <c r="I58" s="38" t="s">
        <v>89</v>
      </c>
      <c r="J58" s="38" t="s">
        <v>110</v>
      </c>
      <c r="K58" s="38" t="s">
        <v>204</v>
      </c>
      <c r="L58" s="39" t="s">
        <v>191</v>
      </c>
    </row>
    <row r="59" spans="1:12" s="40" customFormat="1" x14ac:dyDescent="0.3">
      <c r="A59" s="37">
        <v>57</v>
      </c>
      <c r="B59" s="38" t="s">
        <v>83</v>
      </c>
      <c r="C59" s="37" t="s">
        <v>56</v>
      </c>
      <c r="D59" s="49" t="s">
        <v>129</v>
      </c>
      <c r="E59" s="37">
        <v>385</v>
      </c>
      <c r="F59" s="37">
        <f t="shared" si="1"/>
        <v>126</v>
      </c>
      <c r="G59" s="38" t="s">
        <v>165</v>
      </c>
      <c r="H59" s="38" t="s">
        <v>85</v>
      </c>
      <c r="I59" s="38" t="s">
        <v>89</v>
      </c>
      <c r="J59" s="38" t="s">
        <v>110</v>
      </c>
      <c r="K59" s="38" t="s">
        <v>204</v>
      </c>
      <c r="L59" s="39" t="s">
        <v>192</v>
      </c>
    </row>
    <row r="60" spans="1:12" s="40" customFormat="1" x14ac:dyDescent="0.3">
      <c r="A60" s="37">
        <v>58</v>
      </c>
      <c r="B60" s="38" t="s">
        <v>83</v>
      </c>
      <c r="C60" s="37" t="s">
        <v>57</v>
      </c>
      <c r="D60" s="49" t="s">
        <v>130</v>
      </c>
      <c r="E60" s="37">
        <v>961</v>
      </c>
      <c r="F60" s="37">
        <f t="shared" si="1"/>
        <v>318</v>
      </c>
      <c r="G60" s="38" t="s">
        <v>165</v>
      </c>
      <c r="H60" s="38" t="s">
        <v>85</v>
      </c>
      <c r="I60" s="38" t="s">
        <v>89</v>
      </c>
      <c r="J60" s="38" t="s">
        <v>110</v>
      </c>
      <c r="K60" s="38" t="s">
        <v>204</v>
      </c>
      <c r="L60" s="39" t="s">
        <v>193</v>
      </c>
    </row>
    <row r="61" spans="1:12" s="40" customFormat="1" x14ac:dyDescent="0.3">
      <c r="A61" s="37">
        <v>59</v>
      </c>
      <c r="B61" s="38" t="s">
        <v>83</v>
      </c>
      <c r="C61" s="37" t="s">
        <v>58</v>
      </c>
      <c r="D61" s="49" t="s">
        <v>131</v>
      </c>
      <c r="E61" s="37">
        <v>1009</v>
      </c>
      <c r="F61" s="37">
        <f t="shared" si="1"/>
        <v>334</v>
      </c>
      <c r="G61" s="38" t="s">
        <v>165</v>
      </c>
      <c r="H61" s="38" t="s">
        <v>85</v>
      </c>
      <c r="I61" s="38" t="s">
        <v>89</v>
      </c>
      <c r="J61" s="38" t="s">
        <v>110</v>
      </c>
      <c r="K61" s="38" t="s">
        <v>204</v>
      </c>
      <c r="L61" s="39" t="s">
        <v>194</v>
      </c>
    </row>
    <row r="62" spans="1:12" s="40" customFormat="1" x14ac:dyDescent="0.3">
      <c r="A62" s="37">
        <v>60</v>
      </c>
      <c r="B62" s="38" t="s">
        <v>83</v>
      </c>
      <c r="C62" s="37" t="s">
        <v>59</v>
      </c>
      <c r="D62" s="49" t="s">
        <v>132</v>
      </c>
      <c r="E62" s="37">
        <v>862</v>
      </c>
      <c r="F62" s="37">
        <f t="shared" ref="F62:F83" si="2">(E62-7)/3</f>
        <v>285</v>
      </c>
      <c r="G62" s="38" t="s">
        <v>165</v>
      </c>
      <c r="H62" s="38" t="s">
        <v>85</v>
      </c>
      <c r="I62" s="38" t="s">
        <v>89</v>
      </c>
      <c r="J62" s="38" t="s">
        <v>110</v>
      </c>
      <c r="K62" s="38" t="s">
        <v>204</v>
      </c>
      <c r="L62" s="39" t="s">
        <v>195</v>
      </c>
    </row>
    <row r="63" spans="1:12" s="40" customFormat="1" x14ac:dyDescent="0.3">
      <c r="A63" s="37">
        <v>61</v>
      </c>
      <c r="B63" s="38" t="s">
        <v>83</v>
      </c>
      <c r="C63" s="37" t="s">
        <v>60</v>
      </c>
      <c r="D63" s="49" t="s">
        <v>133</v>
      </c>
      <c r="E63" s="37">
        <v>1483</v>
      </c>
      <c r="F63" s="37">
        <f t="shared" si="2"/>
        <v>492</v>
      </c>
      <c r="G63" s="38" t="s">
        <v>165</v>
      </c>
      <c r="H63" s="38" t="s">
        <v>85</v>
      </c>
      <c r="I63" s="38" t="s">
        <v>89</v>
      </c>
      <c r="J63" s="38" t="s">
        <v>110</v>
      </c>
      <c r="K63" s="38" t="s">
        <v>204</v>
      </c>
      <c r="L63" s="39" t="s">
        <v>196</v>
      </c>
    </row>
    <row r="64" spans="1:12" s="40" customFormat="1" x14ac:dyDescent="0.3">
      <c r="A64" s="37">
        <v>62</v>
      </c>
      <c r="B64" s="38" t="s">
        <v>83</v>
      </c>
      <c r="C64" s="37" t="s">
        <v>61</v>
      </c>
      <c r="D64" s="49" t="s">
        <v>134</v>
      </c>
      <c r="E64" s="37">
        <v>853</v>
      </c>
      <c r="F64" s="37">
        <f t="shared" si="2"/>
        <v>282</v>
      </c>
      <c r="G64" s="38" t="s">
        <v>165</v>
      </c>
      <c r="H64" s="38" t="s">
        <v>85</v>
      </c>
      <c r="I64" s="38" t="s">
        <v>89</v>
      </c>
      <c r="J64" s="38" t="s">
        <v>110</v>
      </c>
      <c r="K64" s="38" t="s">
        <v>204</v>
      </c>
      <c r="L64" s="39" t="s">
        <v>197</v>
      </c>
    </row>
    <row r="65" spans="1:12" s="40" customFormat="1" x14ac:dyDescent="0.3">
      <c r="A65" s="37">
        <v>63</v>
      </c>
      <c r="B65" s="38" t="s">
        <v>83</v>
      </c>
      <c r="C65" s="37" t="s">
        <v>62</v>
      </c>
      <c r="D65" s="49" t="s">
        <v>135</v>
      </c>
      <c r="E65" s="37">
        <v>730</v>
      </c>
      <c r="F65" s="37">
        <f t="shared" si="2"/>
        <v>241</v>
      </c>
      <c r="G65" s="38" t="s">
        <v>165</v>
      </c>
      <c r="H65" s="38" t="s">
        <v>85</v>
      </c>
      <c r="I65" s="38" t="s">
        <v>89</v>
      </c>
      <c r="J65" s="38" t="s">
        <v>110</v>
      </c>
      <c r="K65" s="38" t="s">
        <v>204</v>
      </c>
      <c r="L65" s="39" t="s">
        <v>198</v>
      </c>
    </row>
    <row r="66" spans="1:12" s="40" customFormat="1" x14ac:dyDescent="0.3">
      <c r="A66" s="37">
        <v>64</v>
      </c>
      <c r="B66" s="38" t="s">
        <v>83</v>
      </c>
      <c r="C66" s="37" t="s">
        <v>63</v>
      </c>
      <c r="D66" s="49" t="s">
        <v>136</v>
      </c>
      <c r="E66" s="37">
        <v>442</v>
      </c>
      <c r="F66" s="37">
        <f t="shared" si="2"/>
        <v>145</v>
      </c>
      <c r="G66" s="38" t="s">
        <v>165</v>
      </c>
      <c r="H66" s="38" t="s">
        <v>85</v>
      </c>
      <c r="I66" s="38" t="s">
        <v>89</v>
      </c>
      <c r="J66" s="38" t="s">
        <v>110</v>
      </c>
      <c r="K66" s="38" t="s">
        <v>204</v>
      </c>
      <c r="L66" s="39" t="s">
        <v>199</v>
      </c>
    </row>
    <row r="67" spans="1:12" s="40" customFormat="1" x14ac:dyDescent="0.3">
      <c r="A67" s="37">
        <v>65</v>
      </c>
      <c r="B67" s="38" t="s">
        <v>83</v>
      </c>
      <c r="C67" s="37" t="s">
        <v>64</v>
      </c>
      <c r="D67" s="49" t="s">
        <v>212</v>
      </c>
      <c r="E67" s="37">
        <v>1960</v>
      </c>
      <c r="F67" s="37">
        <f t="shared" si="2"/>
        <v>651</v>
      </c>
      <c r="G67" s="38" t="s">
        <v>165</v>
      </c>
      <c r="H67" s="38" t="s">
        <v>85</v>
      </c>
      <c r="I67" s="38" t="s">
        <v>89</v>
      </c>
      <c r="J67" s="41" t="s">
        <v>93</v>
      </c>
      <c r="K67" s="41" t="s">
        <v>93</v>
      </c>
      <c r="L67" s="39" t="s">
        <v>208</v>
      </c>
    </row>
    <row r="68" spans="1:12" s="40" customFormat="1" x14ac:dyDescent="0.3">
      <c r="A68" s="37">
        <v>66</v>
      </c>
      <c r="B68" s="38" t="s">
        <v>83</v>
      </c>
      <c r="C68" s="37" t="s">
        <v>65</v>
      </c>
      <c r="D68" s="49" t="s">
        <v>137</v>
      </c>
      <c r="E68" s="37">
        <v>1036</v>
      </c>
      <c r="F68" s="37">
        <f t="shared" si="2"/>
        <v>343</v>
      </c>
      <c r="G68" s="38" t="s">
        <v>165</v>
      </c>
      <c r="H68" s="38" t="s">
        <v>85</v>
      </c>
      <c r="I68" s="38" t="s">
        <v>89</v>
      </c>
      <c r="J68" s="38" t="s">
        <v>110</v>
      </c>
      <c r="K68" s="38" t="s">
        <v>205</v>
      </c>
      <c r="L68" s="39" t="s">
        <v>209</v>
      </c>
    </row>
    <row r="69" spans="1:12" s="40" customFormat="1" x14ac:dyDescent="0.3">
      <c r="A69" s="37">
        <v>67</v>
      </c>
      <c r="B69" s="38" t="s">
        <v>83</v>
      </c>
      <c r="C69" s="37" t="s">
        <v>66</v>
      </c>
      <c r="D69" s="49" t="s">
        <v>213</v>
      </c>
      <c r="E69" s="37">
        <v>1798</v>
      </c>
      <c r="F69" s="37">
        <f t="shared" si="2"/>
        <v>597</v>
      </c>
      <c r="G69" s="38" t="s">
        <v>165</v>
      </c>
      <c r="H69" s="38" t="s">
        <v>85</v>
      </c>
      <c r="I69" s="38" t="s">
        <v>89</v>
      </c>
      <c r="J69" s="41" t="s">
        <v>93</v>
      </c>
      <c r="K69" s="41" t="s">
        <v>93</v>
      </c>
      <c r="L69" s="39" t="s">
        <v>210</v>
      </c>
    </row>
    <row r="70" spans="1:12" s="40" customFormat="1" x14ac:dyDescent="0.3">
      <c r="A70" s="37">
        <v>68</v>
      </c>
      <c r="B70" s="38" t="s">
        <v>83</v>
      </c>
      <c r="C70" s="37" t="s">
        <v>67</v>
      </c>
      <c r="D70" s="49" t="s">
        <v>138</v>
      </c>
      <c r="E70" s="37">
        <v>163</v>
      </c>
      <c r="F70" s="37">
        <f t="shared" si="2"/>
        <v>52</v>
      </c>
      <c r="G70" s="38" t="s">
        <v>165</v>
      </c>
      <c r="H70" s="38" t="s">
        <v>85</v>
      </c>
      <c r="I70" s="38" t="s">
        <v>89</v>
      </c>
      <c r="J70" s="38" t="s">
        <v>110</v>
      </c>
      <c r="K70" s="38" t="s">
        <v>204</v>
      </c>
      <c r="L70" s="39" t="s">
        <v>211</v>
      </c>
    </row>
    <row r="71" spans="1:12" s="45" customFormat="1" ht="28.3" x14ac:dyDescent="0.3">
      <c r="A71" s="43">
        <v>69</v>
      </c>
      <c r="B71" s="42" t="s">
        <v>83</v>
      </c>
      <c r="C71" s="43" t="s">
        <v>68</v>
      </c>
      <c r="D71" s="46" t="s">
        <v>221</v>
      </c>
      <c r="E71" s="43">
        <v>3079</v>
      </c>
      <c r="F71" s="43">
        <f t="shared" si="2"/>
        <v>1024</v>
      </c>
      <c r="G71" s="42" t="s">
        <v>165</v>
      </c>
      <c r="H71" s="42" t="s">
        <v>85</v>
      </c>
      <c r="I71" s="42" t="s">
        <v>89</v>
      </c>
      <c r="J71" s="42" t="s">
        <v>110</v>
      </c>
      <c r="K71" s="42" t="s">
        <v>205</v>
      </c>
      <c r="L71" s="44" t="s">
        <v>220</v>
      </c>
    </row>
    <row r="72" spans="1:12" s="40" customFormat="1" ht="28.3" x14ac:dyDescent="0.3">
      <c r="A72" s="14">
        <v>70</v>
      </c>
      <c r="B72" s="13" t="s">
        <v>83</v>
      </c>
      <c r="C72" s="14" t="s">
        <v>69</v>
      </c>
      <c r="D72" s="27" t="s">
        <v>158</v>
      </c>
      <c r="E72" s="14">
        <v>5089</v>
      </c>
      <c r="F72" s="14">
        <f t="shared" si="2"/>
        <v>1694</v>
      </c>
      <c r="G72" s="13" t="s">
        <v>165</v>
      </c>
      <c r="H72" s="13" t="s">
        <v>85</v>
      </c>
      <c r="I72" s="13" t="s">
        <v>89</v>
      </c>
      <c r="J72" s="13" t="s">
        <v>110</v>
      </c>
      <c r="K72" s="13" t="s">
        <v>205</v>
      </c>
      <c r="L72" s="22" t="s">
        <v>145</v>
      </c>
    </row>
    <row r="73" spans="1:12" s="40" customFormat="1" x14ac:dyDescent="0.3">
      <c r="A73" s="14">
        <v>71</v>
      </c>
      <c r="B73" s="13" t="s">
        <v>83</v>
      </c>
      <c r="C73" s="14" t="s">
        <v>70</v>
      </c>
      <c r="D73" s="27" t="s">
        <v>214</v>
      </c>
      <c r="E73" s="14">
        <v>2467</v>
      </c>
      <c r="F73" s="14">
        <f t="shared" si="2"/>
        <v>820</v>
      </c>
      <c r="G73" s="13" t="s">
        <v>165</v>
      </c>
      <c r="H73" s="13" t="s">
        <v>85</v>
      </c>
      <c r="I73" s="13" t="s">
        <v>89</v>
      </c>
      <c r="J73" s="28" t="s">
        <v>93</v>
      </c>
      <c r="K73" s="28" t="s">
        <v>93</v>
      </c>
      <c r="L73" s="22" t="s">
        <v>216</v>
      </c>
    </row>
    <row r="74" spans="1:12" s="40" customFormat="1" ht="28.3" x14ac:dyDescent="0.3">
      <c r="A74" s="14">
        <v>72</v>
      </c>
      <c r="B74" s="13" t="s">
        <v>83</v>
      </c>
      <c r="C74" s="14" t="s">
        <v>71</v>
      </c>
      <c r="D74" s="27" t="s">
        <v>161</v>
      </c>
      <c r="E74" s="14">
        <v>4657</v>
      </c>
      <c r="F74" s="14">
        <f t="shared" si="2"/>
        <v>1550</v>
      </c>
      <c r="G74" s="13" t="s">
        <v>165</v>
      </c>
      <c r="H74" s="13" t="s">
        <v>85</v>
      </c>
      <c r="I74" s="13" t="s">
        <v>89</v>
      </c>
      <c r="J74" s="13" t="s">
        <v>110</v>
      </c>
      <c r="K74" s="13" t="s">
        <v>205</v>
      </c>
      <c r="L74" s="22" t="s">
        <v>159</v>
      </c>
    </row>
    <row r="75" spans="1:12" ht="28.3" x14ac:dyDescent="0.3">
      <c r="A75" s="17">
        <v>73</v>
      </c>
      <c r="B75" s="18" t="s">
        <v>83</v>
      </c>
      <c r="C75" s="17" t="s">
        <v>72</v>
      </c>
      <c r="D75" s="48" t="s">
        <v>250</v>
      </c>
      <c r="E75" s="17">
        <v>3499</v>
      </c>
      <c r="F75" s="17">
        <f t="shared" si="2"/>
        <v>1164</v>
      </c>
      <c r="G75" s="18" t="s">
        <v>165</v>
      </c>
      <c r="H75" s="18" t="s">
        <v>85</v>
      </c>
      <c r="I75" s="18" t="s">
        <v>89</v>
      </c>
      <c r="J75" s="18" t="s">
        <v>110</v>
      </c>
      <c r="K75" s="18" t="s">
        <v>205</v>
      </c>
      <c r="L75" s="19" t="s">
        <v>249</v>
      </c>
    </row>
    <row r="76" spans="1:12" s="16" customFormat="1" x14ac:dyDescent="0.3">
      <c r="A76" s="17">
        <v>74</v>
      </c>
      <c r="B76" s="18" t="s">
        <v>83</v>
      </c>
      <c r="C76" s="17" t="s">
        <v>73</v>
      </c>
      <c r="D76" s="48" t="s">
        <v>251</v>
      </c>
      <c r="E76" s="17">
        <v>2908</v>
      </c>
      <c r="F76" s="17">
        <f t="shared" si="2"/>
        <v>967</v>
      </c>
      <c r="G76" s="18" t="s">
        <v>165</v>
      </c>
      <c r="H76" s="18" t="s">
        <v>85</v>
      </c>
      <c r="I76" s="18" t="s">
        <v>89</v>
      </c>
      <c r="J76" s="21" t="s">
        <v>93</v>
      </c>
      <c r="K76" s="21" t="s">
        <v>93</v>
      </c>
      <c r="L76" s="19" t="s">
        <v>252</v>
      </c>
    </row>
    <row r="77" spans="1:12" s="16" customFormat="1" x14ac:dyDescent="0.3">
      <c r="A77" s="17">
        <v>75</v>
      </c>
      <c r="B77" s="18" t="s">
        <v>83</v>
      </c>
      <c r="C77" s="17" t="s">
        <v>74</v>
      </c>
      <c r="D77" s="48" t="s">
        <v>255</v>
      </c>
      <c r="E77" s="17">
        <v>3730</v>
      </c>
      <c r="F77" s="17">
        <f t="shared" si="2"/>
        <v>1241</v>
      </c>
      <c r="G77" s="18" t="s">
        <v>165</v>
      </c>
      <c r="H77" s="18" t="s">
        <v>85</v>
      </c>
      <c r="I77" s="18" t="s">
        <v>89</v>
      </c>
      <c r="J77" s="18" t="s">
        <v>110</v>
      </c>
      <c r="K77" s="18" t="s">
        <v>205</v>
      </c>
      <c r="L77" s="19" t="s">
        <v>253</v>
      </c>
    </row>
    <row r="78" spans="1:12" s="16" customFormat="1" x14ac:dyDescent="0.3">
      <c r="A78" s="31">
        <v>76</v>
      </c>
      <c r="B78" s="32" t="s">
        <v>83</v>
      </c>
      <c r="C78" s="31" t="s">
        <v>75</v>
      </c>
      <c r="D78" s="33" t="s">
        <v>229</v>
      </c>
      <c r="E78" s="31">
        <v>4492</v>
      </c>
      <c r="F78" s="31">
        <f t="shared" si="2"/>
        <v>1495</v>
      </c>
      <c r="G78" s="32" t="s">
        <v>165</v>
      </c>
      <c r="H78" s="32" t="s">
        <v>85</v>
      </c>
      <c r="I78" s="32" t="s">
        <v>89</v>
      </c>
      <c r="J78" s="32" t="s">
        <v>110</v>
      </c>
      <c r="K78" s="32" t="s">
        <v>204</v>
      </c>
      <c r="L78" s="36" t="s">
        <v>223</v>
      </c>
    </row>
    <row r="79" spans="1:12" s="20" customFormat="1" x14ac:dyDescent="0.3">
      <c r="A79" s="31">
        <v>77</v>
      </c>
      <c r="B79" s="32" t="s">
        <v>83</v>
      </c>
      <c r="C79" s="31" t="s">
        <v>76</v>
      </c>
      <c r="D79" s="33" t="s">
        <v>225</v>
      </c>
      <c r="E79" s="31">
        <v>2134</v>
      </c>
      <c r="F79" s="31">
        <f t="shared" si="2"/>
        <v>709</v>
      </c>
      <c r="G79" s="32" t="s">
        <v>165</v>
      </c>
      <c r="H79" s="32" t="s">
        <v>85</v>
      </c>
      <c r="I79" s="32" t="s">
        <v>89</v>
      </c>
      <c r="J79" s="32" t="s">
        <v>110</v>
      </c>
      <c r="K79" s="32" t="s">
        <v>204</v>
      </c>
      <c r="L79" s="36" t="s">
        <v>222</v>
      </c>
    </row>
    <row r="80" spans="1:12" s="20" customFormat="1" x14ac:dyDescent="0.3">
      <c r="A80" s="31">
        <v>78</v>
      </c>
      <c r="B80" s="32" t="s">
        <v>83</v>
      </c>
      <c r="C80" s="31" t="s">
        <v>77</v>
      </c>
      <c r="D80" s="33" t="s">
        <v>224</v>
      </c>
      <c r="E80" s="31">
        <v>2941</v>
      </c>
      <c r="F80" s="31">
        <f t="shared" si="2"/>
        <v>978</v>
      </c>
      <c r="G80" s="32" t="s">
        <v>165</v>
      </c>
      <c r="H80" s="32" t="s">
        <v>85</v>
      </c>
      <c r="I80" s="32" t="s">
        <v>89</v>
      </c>
      <c r="J80" s="35" t="s">
        <v>93</v>
      </c>
      <c r="K80" s="35" t="s">
        <v>93</v>
      </c>
      <c r="L80" s="36" t="s">
        <v>226</v>
      </c>
    </row>
    <row r="81" spans="1:12" s="20" customFormat="1" ht="28.3" x14ac:dyDescent="0.3">
      <c r="A81" s="23">
        <v>79</v>
      </c>
      <c r="B81" s="24" t="s">
        <v>83</v>
      </c>
      <c r="C81" s="23" t="s">
        <v>78</v>
      </c>
      <c r="D81" s="30" t="s">
        <v>237</v>
      </c>
      <c r="E81" s="23">
        <v>4768</v>
      </c>
      <c r="F81" s="23">
        <f t="shared" si="2"/>
        <v>1587</v>
      </c>
      <c r="G81" s="24" t="s">
        <v>165</v>
      </c>
      <c r="H81" s="24" t="s">
        <v>85</v>
      </c>
      <c r="I81" s="24" t="s">
        <v>89</v>
      </c>
      <c r="J81" s="24" t="s">
        <v>94</v>
      </c>
      <c r="K81" s="24" t="s">
        <v>205</v>
      </c>
      <c r="L81" s="25" t="s">
        <v>239</v>
      </c>
    </row>
    <row r="82" spans="1:12" s="34" customFormat="1" ht="28.3" x14ac:dyDescent="0.3">
      <c r="A82" s="23">
        <v>80</v>
      </c>
      <c r="B82" s="24" t="s">
        <v>83</v>
      </c>
      <c r="C82" s="23" t="s">
        <v>79</v>
      </c>
      <c r="D82" s="30" t="s">
        <v>243</v>
      </c>
      <c r="E82" s="23">
        <v>2980</v>
      </c>
      <c r="F82" s="23">
        <f t="shared" si="2"/>
        <v>991</v>
      </c>
      <c r="G82" s="24" t="s">
        <v>165</v>
      </c>
      <c r="H82" s="24" t="s">
        <v>85</v>
      </c>
      <c r="I82" s="24" t="s">
        <v>89</v>
      </c>
      <c r="J82" s="24" t="s">
        <v>94</v>
      </c>
      <c r="K82" s="24" t="s">
        <v>205</v>
      </c>
      <c r="L82" s="25" t="s">
        <v>240</v>
      </c>
    </row>
    <row r="83" spans="1:12" s="34" customFormat="1" x14ac:dyDescent="0.3">
      <c r="A83" s="23">
        <v>81</v>
      </c>
      <c r="B83" s="24" t="s">
        <v>83</v>
      </c>
      <c r="C83" s="23" t="s">
        <v>80</v>
      </c>
      <c r="D83" s="30" t="s">
        <v>241</v>
      </c>
      <c r="E83" s="23">
        <v>3115</v>
      </c>
      <c r="F83" s="23">
        <f t="shared" si="2"/>
        <v>1036</v>
      </c>
      <c r="G83" s="24" t="s">
        <v>165</v>
      </c>
      <c r="H83" s="24" t="s">
        <v>85</v>
      </c>
      <c r="I83" s="24" t="s">
        <v>89</v>
      </c>
      <c r="J83" s="29" t="s">
        <v>93</v>
      </c>
      <c r="K83" s="29" t="s">
        <v>93</v>
      </c>
      <c r="L83" s="25" t="s">
        <v>242</v>
      </c>
    </row>
    <row r="84" spans="1:12" s="34" customFormat="1" x14ac:dyDescent="0.3">
      <c r="A84" s="2">
        <v>82</v>
      </c>
      <c r="B84" s="5"/>
      <c r="C84" s="5" t="s">
        <v>142</v>
      </c>
      <c r="D84" s="4" t="s">
        <v>140</v>
      </c>
      <c r="E84" s="6"/>
      <c r="F84" s="6"/>
      <c r="G84" s="1" t="s">
        <v>93</v>
      </c>
      <c r="H84" s="1" t="s">
        <v>93</v>
      </c>
      <c r="I84" s="1" t="s">
        <v>93</v>
      </c>
      <c r="J84" s="1" t="s">
        <v>93</v>
      </c>
      <c r="K84" s="1" t="s">
        <v>93</v>
      </c>
      <c r="L84" s="1" t="s">
        <v>93</v>
      </c>
    </row>
    <row r="85" spans="1:12" s="26" customFormat="1" x14ac:dyDescent="0.3">
      <c r="A85" s="6" t="s">
        <v>88</v>
      </c>
      <c r="B85" s="2"/>
      <c r="C85" s="3" t="s">
        <v>92</v>
      </c>
      <c r="D85" s="50"/>
      <c r="E85" s="12">
        <f>SUBTOTAL(109,E3:E83)</f>
        <v>120699</v>
      </c>
      <c r="F85" s="2">
        <f>SUBTOTAL(109,F3:F83)</f>
        <v>40044</v>
      </c>
      <c r="G85" s="1" t="s">
        <v>93</v>
      </c>
      <c r="H85" s="1" t="s">
        <v>93</v>
      </c>
      <c r="I85" s="1" t="s">
        <v>155</v>
      </c>
      <c r="J85" s="1" t="s">
        <v>156</v>
      </c>
      <c r="K85" s="1" t="s">
        <v>257</v>
      </c>
      <c r="L85" s="1" t="s">
        <v>93</v>
      </c>
    </row>
    <row r="86" spans="1:12" s="26" customFormat="1" x14ac:dyDescent="0.3">
      <c r="A86" s="8" t="s">
        <v>258</v>
      </c>
      <c r="B86" s="7"/>
      <c r="C86" s="7"/>
      <c r="D86" s="51"/>
      <c r="E86" s="7"/>
      <c r="F86" s="7"/>
      <c r="G86" s="9"/>
      <c r="H86" s="9"/>
      <c r="I86" s="9"/>
      <c r="J86" s="9"/>
      <c r="K86" s="9"/>
      <c r="L86" s="10"/>
    </row>
    <row r="87" spans="1:12" s="26" customFormat="1" x14ac:dyDescent="0.3">
      <c r="A87"/>
      <c r="B87"/>
      <c r="C87"/>
      <c r="D87" s="52"/>
      <c r="E87"/>
      <c r="F87"/>
      <c r="G87"/>
      <c r="H87"/>
      <c r="I87"/>
      <c r="J87"/>
      <c r="K87"/>
      <c r="L87"/>
    </row>
    <row r="112" spans="4:4" x14ac:dyDescent="0.3">
      <c r="D112" s="53" t="s">
        <v>170</v>
      </c>
    </row>
  </sheetData>
  <mergeCells count="1">
    <mergeCell ref="A1:L1"/>
  </mergeCells>
  <phoneticPr fontId="1" type="noConversion"/>
  <pageMargins left="0.25" right="0.25" top="0.75" bottom="0.75" header="0.3" footer="0.3"/>
  <pageSetup paperSize="9" scale="44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1793D1-36F9-4F54-AD10-CB3492EF0F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BGIScriptDumper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Peidong Hou</cp:lastModifiedBy>
  <cp:lastPrinted>2026-06-15T13:23:26Z</cp:lastPrinted>
  <dcterms:created xsi:type="dcterms:W3CDTF">2023-05-12T11:15:00Z</dcterms:created>
  <dcterms:modified xsi:type="dcterms:W3CDTF">2026-07-24T13:58:57Z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